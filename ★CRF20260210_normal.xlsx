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cmini/Documents/☆大腸外科/☆共同研究/☆☆JSHT/LSレジストリ研究/☆JSHT LS Registry_v1.0/"/>
    </mc:Choice>
  </mc:AlternateContent>
  <xr:revisionPtr revIDLastSave="0" documentId="13_ncr:1_{3A8F151F-E787-1F47-A6D6-1DF38AB43C04}" xr6:coauthVersionLast="47" xr6:coauthVersionMax="47" xr10:uidLastSave="{00000000-0000-0000-0000-000000000000}"/>
  <bookViews>
    <workbookView xWindow="37640" yWindow="3340" windowWidth="30240" windowHeight="23940" xr2:uid="{75473A5B-0308-434D-AB33-31CDB37F4C9C}"/>
  </bookViews>
  <sheets>
    <sheet name="登録票" sheetId="9" r:id="rId1"/>
    <sheet name="登録時情報" sheetId="11" r:id="rId2"/>
    <sheet name="家系情報" sheetId="10" r:id="rId3"/>
    <sheet name="サーベイランス" sheetId="5" r:id="rId4"/>
    <sheet name="化学予防" sheetId="4" r:id="rId5"/>
    <sheet name="嗜好・生活" sheetId="6" state="hidden" r:id="rId6"/>
    <sheet name="転帰・予後" sheetId="8" r:id="rId7"/>
    <sheet name="List" sheetId="3" r:id="rId8"/>
  </sheets>
  <definedNames>
    <definedName name="_xlnm._FilterDatabase" localSheetId="3" hidden="1">サーベイランス!$A$4:$V$50</definedName>
    <definedName name="その他">List!$T$857:$T$869</definedName>
    <definedName name="ファーター膨大部">List!$T$298:$T$301</definedName>
    <definedName name="リンパ球系">List!$T$633:$T$752</definedName>
    <definedName name="陰茎">List!$T$519:$T$522</definedName>
    <definedName name="外陰部_膣">List!$T$488:$T$500</definedName>
    <definedName name="肝臓">List!$T$307:$T$314</definedName>
    <definedName name="眼">List!$T$155:$T$160</definedName>
    <definedName name="胸腺">List!$T$209:$T$210</definedName>
    <definedName name="胸膜">List!$T$202:$T$205</definedName>
    <definedName name="甲状腺">List!$T$165:$T$170</definedName>
    <definedName name="骨">List!$T$609:$T$631</definedName>
    <definedName name="骨髄">List!$T$754:$T$855</definedName>
    <definedName name="子宮">List!$T$427:$T$462</definedName>
    <definedName name="子宮頸部">List!$T$464:$T$486</definedName>
    <definedName name="食道_胃">List!$T$249:$T$270</definedName>
    <definedName name="腎臓">List!$T$347:$T$366</definedName>
    <definedName name="精巣">List!$T$507:$T$517</definedName>
    <definedName name="前立腺">List!$T$502:$T$505</definedName>
    <definedName name="胆道">List!$T$316:$T$325</definedName>
    <definedName name="中枢神経系_脳">List!$T$3:$T$106</definedName>
    <definedName name="腸">List!$T$272:$T$296</definedName>
    <definedName name="頭頸部">List!$T$118:$T$152</definedName>
    <definedName name="軟部組織">List!$T$554:$T$607</definedName>
    <definedName name="乳房">List!$T$212:$T$246</definedName>
    <definedName name="肺">List!$T$172:$T$200</definedName>
    <definedName name="皮膚">List!$T$524:$T$552</definedName>
    <definedName name="病変部位">List!$S$2:$S$33</definedName>
    <definedName name="副腎">List!$T$342:$T$344</definedName>
    <definedName name="腹膜">List!$T$303:$T$304</definedName>
    <definedName name="末梢神経系">List!$T$108:$T$116</definedName>
    <definedName name="卵巣_卵管">List!$T$386:$T$425</definedName>
    <definedName name="膀胱_尿路">List!$T$368:$T$384</definedName>
    <definedName name="膵臓">List!$T$328:$T$340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11" l="1"/>
  <c r="C3" i="8"/>
  <c r="C2" i="8"/>
  <c r="C1" i="8"/>
  <c r="C3" i="6"/>
  <c r="C2" i="6"/>
  <c r="C1" i="6"/>
  <c r="C3" i="4"/>
  <c r="C2" i="4"/>
  <c r="C1" i="4"/>
  <c r="C3" i="5"/>
  <c r="C2" i="5"/>
  <c r="C1" i="5"/>
  <c r="C8" i="9"/>
</calcChain>
</file>

<file path=xl/sharedStrings.xml><?xml version="1.0" encoding="utf-8"?>
<sst xmlns="http://schemas.openxmlformats.org/spreadsheetml/2006/main" count="1681" uniqueCount="1456">
  <si>
    <t>医療機関情報</t>
    <rPh sb="0" eb="4">
      <t xml:space="preserve">イリョウキカｎ </t>
    </rPh>
    <rPh sb="4" eb="6">
      <t xml:space="preserve">ジョウホウ </t>
    </rPh>
    <phoneticPr fontId="1"/>
  </si>
  <si>
    <t>患者情報</t>
    <rPh sb="0" eb="2">
      <t xml:space="preserve">カンジャ </t>
    </rPh>
    <rPh sb="2" eb="4">
      <t xml:space="preserve">ジョウホウ </t>
    </rPh>
    <phoneticPr fontId="1"/>
  </si>
  <si>
    <t>111-222-333</t>
    <phoneticPr fontId="1"/>
  </si>
  <si>
    <t>男</t>
    <rPh sb="0" eb="1">
      <t xml:space="preserve">オトコ </t>
    </rPh>
    <phoneticPr fontId="1"/>
  </si>
  <si>
    <t>診断年月日</t>
    <rPh sb="0" eb="2">
      <t xml:space="preserve">シンダｎ </t>
    </rPh>
    <rPh sb="2" eb="5">
      <t xml:space="preserve">ネンガッピ </t>
    </rPh>
    <phoneticPr fontId="1"/>
  </si>
  <si>
    <t>MLH1</t>
    <phoneticPr fontId="1"/>
  </si>
  <si>
    <t>c.123G&gt;A</t>
    <phoneticPr fontId="1"/>
  </si>
  <si>
    <t>p.Leu41Ter</t>
    <phoneticPr fontId="1"/>
  </si>
  <si>
    <t>あり</t>
    <phoneticPr fontId="1"/>
  </si>
  <si>
    <t>なし</t>
    <phoneticPr fontId="1"/>
  </si>
  <si>
    <t>妊娠・出産情報</t>
    <rPh sb="0" eb="2">
      <t xml:space="preserve">ニンシン </t>
    </rPh>
    <rPh sb="3" eb="5">
      <t xml:space="preserve">シュッサｎ </t>
    </rPh>
    <rPh sb="5" eb="7">
      <t xml:space="preserve">ジョウホウ </t>
    </rPh>
    <phoneticPr fontId="1"/>
  </si>
  <si>
    <t>飲酒歴</t>
    <rPh sb="0" eb="3">
      <t xml:space="preserve">インシュレキ </t>
    </rPh>
    <phoneticPr fontId="1"/>
  </si>
  <si>
    <t>多飲なし</t>
    <rPh sb="0" eb="2">
      <t xml:space="preserve">タイｎ </t>
    </rPh>
    <phoneticPr fontId="1"/>
  </si>
  <si>
    <t>死因</t>
    <rPh sb="0" eb="2">
      <t xml:space="preserve">シイｎ </t>
    </rPh>
    <phoneticPr fontId="1"/>
  </si>
  <si>
    <t>大腸癌</t>
    <rPh sb="0" eb="3">
      <t xml:space="preserve">ダイチョウガｎ </t>
    </rPh>
    <phoneticPr fontId="1"/>
  </si>
  <si>
    <t>カルテ番号*</t>
    <phoneticPr fontId="1"/>
  </si>
  <si>
    <t>生年月日*</t>
    <rPh sb="0" eb="4">
      <t>セイネン</t>
    </rPh>
    <phoneticPr fontId="1"/>
  </si>
  <si>
    <t>性別*</t>
    <rPh sb="0" eb="2">
      <t xml:space="preserve">セイベツ </t>
    </rPh>
    <phoneticPr fontId="1"/>
  </si>
  <si>
    <t>高血圧</t>
    <rPh sb="0" eb="3">
      <t xml:space="preserve">コウケツアツ </t>
    </rPh>
    <phoneticPr fontId="1"/>
  </si>
  <si>
    <t>脂質代謝異常症</t>
    <rPh sb="0" eb="7">
      <t>シシツタイ</t>
    </rPh>
    <phoneticPr fontId="1"/>
  </si>
  <si>
    <t>糖尿病</t>
    <rPh sb="0" eb="3">
      <t xml:space="preserve">トウニョウビョウ </t>
    </rPh>
    <phoneticPr fontId="1"/>
  </si>
  <si>
    <t>MMR-IHC</t>
    <phoneticPr fontId="1"/>
  </si>
  <si>
    <t>dMMR</t>
    <phoneticPr fontId="1"/>
  </si>
  <si>
    <t>下部消化管内視鏡検査</t>
    <rPh sb="0" eb="5">
      <t>カブショウ</t>
    </rPh>
    <rPh sb="5" eb="10">
      <t xml:space="preserve">ナイシキョウケンサ </t>
    </rPh>
    <phoneticPr fontId="1"/>
  </si>
  <si>
    <t>小腸癌</t>
    <rPh sb="0" eb="3">
      <t xml:space="preserve">ショウチョウガｎ </t>
    </rPh>
    <phoneticPr fontId="1"/>
  </si>
  <si>
    <t>胃癌</t>
    <rPh sb="0" eb="2">
      <t xml:space="preserve">イガｎ </t>
    </rPh>
    <phoneticPr fontId="1"/>
  </si>
  <si>
    <t>子宮</t>
  </si>
  <si>
    <t>検査種別</t>
    <rPh sb="0" eb="4">
      <t xml:space="preserve">ケンサシュベツ </t>
    </rPh>
    <phoneticPr fontId="1"/>
  </si>
  <si>
    <t>肝臓</t>
  </si>
  <si>
    <t>膵臓</t>
  </si>
  <si>
    <t>腎臓</t>
  </si>
  <si>
    <t>腹部超音波検査</t>
    <rPh sb="0" eb="5">
      <t>フクｂ</t>
    </rPh>
    <rPh sb="5" eb="7">
      <t xml:space="preserve">ケンサ </t>
    </rPh>
    <phoneticPr fontId="1"/>
  </si>
  <si>
    <t>CT検査</t>
    <rPh sb="2" eb="4">
      <t xml:space="preserve">ケンサ </t>
    </rPh>
    <phoneticPr fontId="1"/>
  </si>
  <si>
    <t>MRI検査</t>
    <rPh sb="3" eb="5">
      <t xml:space="preserve">ケンサ </t>
    </rPh>
    <phoneticPr fontId="1"/>
  </si>
  <si>
    <t>deficient</t>
    <phoneticPr fontId="1"/>
  </si>
  <si>
    <t>proficient</t>
    <phoneticPr fontId="1"/>
  </si>
  <si>
    <t>その他</t>
  </si>
  <si>
    <t>その他</t>
    <phoneticPr fontId="1"/>
  </si>
  <si>
    <t>子宮内膜癌</t>
    <rPh sb="0" eb="5">
      <t>シキュウ</t>
    </rPh>
    <phoneticPr fontId="1"/>
  </si>
  <si>
    <t>診断</t>
    <rPh sb="0" eb="2">
      <t>リンショ</t>
    </rPh>
    <phoneticPr fontId="1"/>
  </si>
  <si>
    <t>子宮筋腫</t>
    <rPh sb="0" eb="4">
      <t xml:space="preserve">シキュウキンシュ </t>
    </rPh>
    <phoneticPr fontId="1"/>
  </si>
  <si>
    <t>子宮内膜癌</t>
    <rPh sb="0" eb="5">
      <t>シキュウナイ</t>
    </rPh>
    <phoneticPr fontId="1"/>
  </si>
  <si>
    <t>卵巣癌</t>
    <rPh sb="0" eb="3">
      <t xml:space="preserve">ランソウガｎ </t>
    </rPh>
    <phoneticPr fontId="1"/>
  </si>
  <si>
    <t>卵巣嚢腫</t>
    <rPh sb="0" eb="4">
      <t>ランソウノウｓ</t>
    </rPh>
    <phoneticPr fontId="1"/>
  </si>
  <si>
    <t>子宮内膜増殖症</t>
    <rPh sb="0" eb="7">
      <t xml:space="preserve">シキュウナイマクゾウショクショウ </t>
    </rPh>
    <phoneticPr fontId="1"/>
  </si>
  <si>
    <t>腎盂癌</t>
    <rPh sb="0" eb="2">
      <t xml:space="preserve">ジンウ </t>
    </rPh>
    <rPh sb="2" eb="3">
      <t xml:space="preserve">ガｎ </t>
    </rPh>
    <phoneticPr fontId="1"/>
  </si>
  <si>
    <t>尿管癌</t>
    <rPh sb="0" eb="3">
      <t xml:space="preserve">ニョウカンガｎ </t>
    </rPh>
    <phoneticPr fontId="1"/>
  </si>
  <si>
    <t>十二指腸癌</t>
    <rPh sb="0" eb="4">
      <t>ジュウ</t>
    </rPh>
    <rPh sb="4" eb="5">
      <t xml:space="preserve">ガｎ </t>
    </rPh>
    <phoneticPr fontId="1"/>
  </si>
  <si>
    <t>膵癌</t>
    <rPh sb="0" eb="2">
      <t xml:space="preserve">スイガｎ </t>
    </rPh>
    <phoneticPr fontId="1"/>
  </si>
  <si>
    <t>胆道癌</t>
    <rPh sb="0" eb="3">
      <t xml:space="preserve">タンドウガｎ </t>
    </rPh>
    <phoneticPr fontId="1"/>
  </si>
  <si>
    <t>前立腺癌</t>
    <rPh sb="0" eb="4">
      <t xml:space="preserve">ゼンリツセンガｎ </t>
    </rPh>
    <phoneticPr fontId="1"/>
  </si>
  <si>
    <t>脳腫瘍</t>
    <rPh sb="0" eb="3">
      <t xml:space="preserve">ノウシュヨウ </t>
    </rPh>
    <phoneticPr fontId="1"/>
  </si>
  <si>
    <t>皮脂腺腫瘍</t>
    <rPh sb="0" eb="3">
      <t>ヒシセン</t>
    </rPh>
    <rPh sb="3" eb="5">
      <t xml:space="preserve">シュヨウ </t>
    </rPh>
    <phoneticPr fontId="1"/>
  </si>
  <si>
    <t>ピロリ菌感染の既往</t>
    <rPh sb="4" eb="6">
      <t xml:space="preserve">カンセｎ </t>
    </rPh>
    <rPh sb="7" eb="9">
      <t xml:space="preserve">キオウ </t>
    </rPh>
    <phoneticPr fontId="1"/>
  </si>
  <si>
    <t>不明</t>
    <rPh sb="0" eb="2">
      <t xml:space="preserve">フメイ </t>
    </rPh>
    <phoneticPr fontId="1"/>
  </si>
  <si>
    <t>成功</t>
    <rPh sb="0" eb="2">
      <t xml:space="preserve">セイコウ </t>
    </rPh>
    <phoneticPr fontId="1"/>
  </si>
  <si>
    <t>女</t>
    <rPh sb="0" eb="1">
      <t xml:space="preserve">オンナ </t>
    </rPh>
    <phoneticPr fontId="1"/>
  </si>
  <si>
    <t>MSH2</t>
    <phoneticPr fontId="1"/>
  </si>
  <si>
    <t>MSH6</t>
    <phoneticPr fontId="1"/>
  </si>
  <si>
    <t>PMS2</t>
    <phoneticPr fontId="1"/>
  </si>
  <si>
    <t>EPCAM</t>
    <phoneticPr fontId="1"/>
  </si>
  <si>
    <t>乳癌</t>
    <rPh sb="0" eb="2">
      <t xml:space="preserve">ニュウガｎ </t>
    </rPh>
    <phoneticPr fontId="1"/>
  </si>
  <si>
    <t>肺癌</t>
    <rPh sb="0" eb="1">
      <t xml:space="preserve">ハイガｎ </t>
    </rPh>
    <rPh sb="1" eb="2">
      <t>ガン</t>
    </rPh>
    <phoneticPr fontId="1"/>
  </si>
  <si>
    <t>頭頸部腫瘍</t>
    <rPh sb="0" eb="3">
      <t xml:space="preserve">トウケイブ </t>
    </rPh>
    <rPh sb="3" eb="5">
      <t xml:space="preserve">シュヨウ </t>
    </rPh>
    <phoneticPr fontId="1"/>
  </si>
  <si>
    <t>食道癌</t>
    <rPh sb="0" eb="2">
      <t xml:space="preserve">ショクドウガｎ </t>
    </rPh>
    <rPh sb="2" eb="3">
      <t>ガン</t>
    </rPh>
    <phoneticPr fontId="1"/>
  </si>
  <si>
    <t>膀胱癌</t>
    <rPh sb="0" eb="3">
      <t xml:space="preserve">ボウコウガｎ </t>
    </rPh>
    <phoneticPr fontId="1"/>
  </si>
  <si>
    <t>MSI</t>
    <phoneticPr fontId="1"/>
  </si>
  <si>
    <t>出産</t>
    <rPh sb="0" eb="2">
      <t xml:space="preserve">シュッサｎ </t>
    </rPh>
    <phoneticPr fontId="1"/>
  </si>
  <si>
    <t>子宮頸癌</t>
    <rPh sb="0" eb="4">
      <t xml:space="preserve">シキュウケイガｎ </t>
    </rPh>
    <phoneticPr fontId="1"/>
  </si>
  <si>
    <t>悪性黒色腫</t>
    <rPh sb="0" eb="5">
      <t>アクセイコク</t>
    </rPh>
    <phoneticPr fontId="1"/>
  </si>
  <si>
    <t>基底細胞癌</t>
    <rPh sb="0" eb="1">
      <t>キテイ</t>
    </rPh>
    <phoneticPr fontId="1"/>
  </si>
  <si>
    <t>有棘細胞癌</t>
    <rPh sb="0" eb="5">
      <t>ユウキョクサ</t>
    </rPh>
    <phoneticPr fontId="1"/>
  </si>
  <si>
    <t>悪性リンパ腫</t>
    <rPh sb="0" eb="1">
      <t>アクセイリｎ</t>
    </rPh>
    <phoneticPr fontId="1"/>
  </si>
  <si>
    <t>白血病</t>
    <rPh sb="0" eb="3">
      <t xml:space="preserve">ハッケツビョウ </t>
    </rPh>
    <phoneticPr fontId="1"/>
  </si>
  <si>
    <t>肝臓癌</t>
    <rPh sb="0" eb="2">
      <t xml:space="preserve">カンゾウ </t>
    </rPh>
    <rPh sb="2" eb="3">
      <t xml:space="preserve">カンガｎ </t>
    </rPh>
    <phoneticPr fontId="1"/>
  </si>
  <si>
    <t>性別不適合</t>
    <rPh sb="0" eb="2">
      <t xml:space="preserve">セイベツ </t>
    </rPh>
    <rPh sb="2" eb="5">
      <t xml:space="preserve">フテキゴウ </t>
    </rPh>
    <phoneticPr fontId="1"/>
  </si>
  <si>
    <t>pMMR</t>
    <phoneticPr fontId="1"/>
  </si>
  <si>
    <t>MSS</t>
    <phoneticPr fontId="1"/>
  </si>
  <si>
    <t>MSI-H</t>
    <phoneticPr fontId="1"/>
  </si>
  <si>
    <t>MSI-L</t>
    <phoneticPr fontId="1"/>
  </si>
  <si>
    <t>転院先医療機関</t>
    <rPh sb="0" eb="2">
      <t xml:space="preserve">テンイｎ </t>
    </rPh>
    <rPh sb="2" eb="3">
      <t xml:space="preserve">サキ </t>
    </rPh>
    <rPh sb="3" eb="7">
      <t>イリョウ</t>
    </rPh>
    <phoneticPr fontId="1"/>
  </si>
  <si>
    <t>Glioma, NOS (GNOS)_神経膠腫、特定不能</t>
    <rPh sb="24" eb="26">
      <t>トクテイ</t>
    </rPh>
    <rPh sb="26" eb="28">
      <t>フノウ</t>
    </rPh>
    <phoneticPr fontId="1"/>
  </si>
  <si>
    <t>High-Grade Glioma, NOS (HGGNOS)_高悪性度神経膠腫、特定不能</t>
    <rPh sb="41" eb="43">
      <t>トクテイ</t>
    </rPh>
    <rPh sb="43" eb="45">
      <t>フノウ</t>
    </rPh>
    <phoneticPr fontId="1"/>
  </si>
  <si>
    <t>Anaplastic Ganglioglioma (AGNG)_退形成性神経節膠腫</t>
    <phoneticPr fontId="1"/>
  </si>
  <si>
    <t>Anaplastic Pleomorphic Xanthoastrocytoma (APXA)_退形成性多型黄色星細胞腫</t>
    <phoneticPr fontId="1"/>
  </si>
  <si>
    <t>Low-Grade Glioma, NOS (LGGNOS)_低悪性度神経膠腫、特定不能</t>
    <rPh sb="40" eb="42">
      <t>トクテイ</t>
    </rPh>
    <rPh sb="42" eb="44">
      <t>フノウ</t>
    </rPh>
    <phoneticPr fontId="1"/>
  </si>
  <si>
    <t>末梢神経系</t>
    <phoneticPr fontId="1"/>
  </si>
  <si>
    <t>頭頸部</t>
    <phoneticPr fontId="1"/>
  </si>
  <si>
    <t>甲状腺</t>
    <rPh sb="0" eb="3">
      <t>コウジョウセン</t>
    </rPh>
    <phoneticPr fontId="2"/>
  </si>
  <si>
    <t>肺</t>
    <rPh sb="0" eb="1">
      <t>ハイ</t>
    </rPh>
    <phoneticPr fontId="2"/>
  </si>
  <si>
    <t>胸膜</t>
    <rPh sb="0" eb="2">
      <t>キョウマク</t>
    </rPh>
    <phoneticPr fontId="2"/>
  </si>
  <si>
    <t>胸腺</t>
    <rPh sb="0" eb="2">
      <t>キョウセン</t>
    </rPh>
    <phoneticPr fontId="2"/>
  </si>
  <si>
    <t>乳房</t>
    <rPh sb="0" eb="2">
      <t>ニュウボウ</t>
    </rPh>
    <phoneticPr fontId="2"/>
  </si>
  <si>
    <t>Breast Neoplasm, NOS (BNNOS)_乳腺新生物、特定不能</t>
    <rPh sb="35" eb="37">
      <t>トクテイ</t>
    </rPh>
    <rPh sb="37" eb="39">
      <t>フノウ</t>
    </rPh>
    <phoneticPr fontId="1"/>
  </si>
  <si>
    <t>腸</t>
    <rPh sb="0" eb="1">
      <t>チョウ</t>
    </rPh>
    <phoneticPr fontId="2"/>
  </si>
  <si>
    <t>腹膜</t>
    <rPh sb="0" eb="2">
      <t>フクマク</t>
    </rPh>
    <phoneticPr fontId="2"/>
  </si>
  <si>
    <t>肝臓</t>
    <rPh sb="0" eb="2">
      <t>カンゾウ</t>
    </rPh>
    <phoneticPr fontId="2"/>
  </si>
  <si>
    <t>胆道</t>
    <rPh sb="0" eb="1">
      <t>タン</t>
    </rPh>
    <rPh sb="1" eb="2">
      <t>ドウ</t>
    </rPh>
    <phoneticPr fontId="2"/>
  </si>
  <si>
    <t>Gallbladder Adenocarcinoma, NOS (GBAD)_胆嚢腺癌、特定不能</t>
    <rPh sb="44" eb="46">
      <t>トクテイ</t>
    </rPh>
    <rPh sb="46" eb="48">
      <t>フノウ</t>
    </rPh>
    <phoneticPr fontId="1"/>
  </si>
  <si>
    <t>膵臓</t>
    <rPh sb="0" eb="2">
      <t>スイゾウ</t>
    </rPh>
    <phoneticPr fontId="2"/>
  </si>
  <si>
    <t>副腎</t>
    <rPh sb="0" eb="2">
      <t>フクジン</t>
    </rPh>
    <phoneticPr fontId="2"/>
  </si>
  <si>
    <t>腎臓</t>
    <rPh sb="0" eb="2">
      <t>ジンゾウ</t>
    </rPh>
    <phoneticPr fontId="2"/>
  </si>
  <si>
    <t>膀胱/尿路</t>
    <rPh sb="0" eb="2">
      <t>ボウコウ</t>
    </rPh>
    <rPh sb="3" eb="5">
      <t>ニョウロ</t>
    </rPh>
    <phoneticPr fontId="2"/>
  </si>
  <si>
    <t>卵巣/卵管</t>
    <rPh sb="0" eb="2">
      <t>ランソウ</t>
    </rPh>
    <rPh sb="3" eb="5">
      <t>ランカン</t>
    </rPh>
    <phoneticPr fontId="2"/>
  </si>
  <si>
    <t>子宮</t>
    <rPh sb="0" eb="2">
      <t>シキュウ</t>
    </rPh>
    <phoneticPr fontId="2"/>
  </si>
  <si>
    <t>外陰部/膣</t>
    <rPh sb="0" eb="3">
      <t>ガイインブ</t>
    </rPh>
    <rPh sb="4" eb="5">
      <t>チツ</t>
    </rPh>
    <phoneticPr fontId="2"/>
  </si>
  <si>
    <t>前立腺</t>
    <rPh sb="0" eb="3">
      <t>ゼンリツセン</t>
    </rPh>
    <phoneticPr fontId="2"/>
  </si>
  <si>
    <t>精巣</t>
    <rPh sb="0" eb="2">
      <t>セイソウ</t>
    </rPh>
    <phoneticPr fontId="2"/>
  </si>
  <si>
    <t>皮膚</t>
    <rPh sb="0" eb="2">
      <t>ヒフ</t>
    </rPh>
    <phoneticPr fontId="2"/>
  </si>
  <si>
    <t>軟部組織</t>
    <rPh sb="0" eb="2">
      <t>ナンブ</t>
    </rPh>
    <rPh sb="2" eb="4">
      <t>ソシキ</t>
    </rPh>
    <phoneticPr fontId="2"/>
  </si>
  <si>
    <t>骨</t>
    <rPh sb="0" eb="1">
      <t>ホネ</t>
    </rPh>
    <phoneticPr fontId="2"/>
  </si>
  <si>
    <t>リンパ球系</t>
    <rPh sb="3" eb="4">
      <t>キュウ</t>
    </rPh>
    <rPh sb="4" eb="5">
      <t>ケイ</t>
    </rPh>
    <phoneticPr fontId="2"/>
  </si>
  <si>
    <t>B-Lymphoblastic Leukemia/Lymphoma, NOS (BLLNOS)_Bリンパ芽球性白血病/リンパ腫、非特異型</t>
    <rPh sb="65" eb="67">
      <t>トクイ</t>
    </rPh>
    <rPh sb="67" eb="68">
      <t>ガタ</t>
    </rPh>
    <phoneticPr fontId="1"/>
  </si>
  <si>
    <t>骨髄</t>
    <rPh sb="0" eb="2">
      <t>コツズイ</t>
    </rPh>
    <phoneticPr fontId="2"/>
  </si>
  <si>
    <t>Mixed Phenotype Acute Leukemia, B/Myeloid, NOS (MPALBNOS)_混合表現型急性白血病、B/骨髄性、非特異型</t>
    <rPh sb="75" eb="76">
      <t>ヒ</t>
    </rPh>
    <rPh sb="76" eb="78">
      <t>トクイ</t>
    </rPh>
    <rPh sb="78" eb="79">
      <t>ガタ</t>
    </rPh>
    <phoneticPr fontId="1"/>
  </si>
  <si>
    <t>Mixed Phenotype Acute Leukemia, T/Myeloid, NOS (MPALTNOS)_混合表現型急性白血病、T/骨髄性、非特異型</t>
    <rPh sb="75" eb="76">
      <t>ヒ</t>
    </rPh>
    <rPh sb="76" eb="78">
      <t>トクイ</t>
    </rPh>
    <rPh sb="78" eb="79">
      <t>ガタ</t>
    </rPh>
    <phoneticPr fontId="1"/>
  </si>
  <si>
    <t>AML, NOS (AMLNOS)_急性骨髄性白血病、非特異型</t>
    <rPh sb="27" eb="28">
      <t>ヒ</t>
    </rPh>
    <rPh sb="28" eb="30">
      <t>トクイ</t>
    </rPh>
    <rPh sb="30" eb="31">
      <t>ガタ</t>
    </rPh>
    <phoneticPr fontId="1"/>
  </si>
  <si>
    <t>MDS, Unclassifiable (MDSU)_骨髄異形成症候群、分類不能</t>
    <rPh sb="27" eb="32">
      <t>コツズイイケイセイ</t>
    </rPh>
    <rPh sb="32" eb="35">
      <t>ショウコウグン</t>
    </rPh>
    <rPh sb="36" eb="38">
      <t>ブンルイ</t>
    </rPh>
    <rPh sb="38" eb="40">
      <t>フノウ</t>
    </rPh>
    <phoneticPr fontId="1"/>
  </si>
  <si>
    <t>MDS/MPN, Unclassifiable (MDSMPNU)_骨髄異形成症候群/骨髄増殖性腫瘍、分類不能</t>
    <rPh sb="34" eb="39">
      <t>コツズイイケイセイ</t>
    </rPh>
    <rPh sb="39" eb="42">
      <t>ショウコウグン</t>
    </rPh>
    <rPh sb="43" eb="45">
      <t>コツズイ</t>
    </rPh>
    <rPh sb="45" eb="48">
      <t>ゾウショクセイ</t>
    </rPh>
    <rPh sb="48" eb="50">
      <t>シュヨウ</t>
    </rPh>
    <rPh sb="51" eb="53">
      <t>ブンルイ</t>
    </rPh>
    <rPh sb="53" eb="55">
      <t>フノウ</t>
    </rPh>
    <phoneticPr fontId="1"/>
  </si>
  <si>
    <t>Chronic Eosinophilic Leukemia, NOS (CELNOS)_慢性好酸球性白血病、非特異型</t>
    <rPh sb="54" eb="55">
      <t>ヒ</t>
    </rPh>
    <rPh sb="55" eb="57">
      <t>トクイ</t>
    </rPh>
    <rPh sb="57" eb="58">
      <t>ガタ</t>
    </rPh>
    <phoneticPr fontId="1"/>
  </si>
  <si>
    <t>Myeloproliferative Neoplasms, Unclassifiable (MPNU)_骨髄増殖性腫瘍、分類不能</t>
    <rPh sb="52" eb="54">
      <t>コツズイ</t>
    </rPh>
    <rPh sb="54" eb="57">
      <t>ゾウショクセイ</t>
    </rPh>
    <rPh sb="57" eb="59">
      <t>シュヨウ</t>
    </rPh>
    <rPh sb="60" eb="62">
      <t>ブンルイ</t>
    </rPh>
    <rPh sb="62" eb="64">
      <t>フノウ</t>
    </rPh>
    <phoneticPr fontId="1"/>
  </si>
  <si>
    <t>その他</t>
    <rPh sb="2" eb="3">
      <t>タ</t>
    </rPh>
    <phoneticPr fontId="2"/>
  </si>
  <si>
    <t>中枢神経系/脳</t>
  </si>
  <si>
    <t>Choroid Plexus Tumor (CPT)_脈絡叢腫瘍</t>
  </si>
  <si>
    <t>Atypical Choroid Plexus Papilloma (ACPP)_異型脈絡叢乳頭腫</t>
  </si>
  <si>
    <t>Choroid Plexus Carcinoma (CPC)_脈絡叢癌</t>
  </si>
  <si>
    <t>Choroid Plexus Papilloma (CPP)_脈絡叢乳頭腫</t>
  </si>
  <si>
    <t>Diffuse Glioma (DIFG)_びまん性神経膠腫</t>
  </si>
  <si>
    <t>Anaplastic Astrocytoma (AASTR)_退形成性星細胞腫</t>
  </si>
  <si>
    <t>Anaplastic Oligoastrocytoma (AOAST)_退形成性乏突起星細胞腫</t>
  </si>
  <si>
    <t>Anaplastic Oligodendroglioma (AODG)_退形成性乏突起膠腫</t>
  </si>
  <si>
    <t>Astrocytoma (ASTR)_星細胞腫</t>
  </si>
  <si>
    <t>Diffuse Astrocytoma (DASTR)_びまん性星細胞腫</t>
  </si>
  <si>
    <t>Diffuse Intrinsic Pontine Glioma (DIPG)_びまん性橋膠腫</t>
  </si>
  <si>
    <t>Glioblastoma (GB)_膠芽腫</t>
  </si>
  <si>
    <t>Glioblastoma Multiforme (GBM)_多形膠芽腫</t>
  </si>
  <si>
    <t>Gliosarcoma (GSARC)_膠肉腫</t>
  </si>
  <si>
    <t>Small Cell Glioblastoma (SCGBM)_小細胞膠芽腫</t>
  </si>
  <si>
    <t>Oligoastrocytoma (OAST)_乏突起星細胞腫</t>
  </si>
  <si>
    <t>Oligodendroglioma (ODG)_乏突起膠腫</t>
  </si>
  <si>
    <t>Embryonal Tumor (EMBT)_胎児性腫瘍</t>
  </si>
  <si>
    <t>Atypical Teratoid/Rhabdoid Tumor (ATRT)_非定型奇形腫様ラブドイド腫瘍</t>
  </si>
  <si>
    <t>Desmoplastic/Nodular Medulloblastoma (DMBL)_線維形成性結節性髄芽腫</t>
  </si>
  <si>
    <t>Embryonal Tumor with Abundant Neuropil and True Rosettes (ETANTR)_ニューロピルと真性ロゼットに富む胎児性腫瘍</t>
  </si>
  <si>
    <t>Large Cell/Anaplastic Medulloblastoma (AMBL)_大細胞性/退形成性髄芽腫</t>
  </si>
  <si>
    <t>Medulloblastoma (MBL)_髄芽腫</t>
  </si>
  <si>
    <t>Medulloblastoma with Extensive Nodularity (MBEN)_高度結節性髄芽腫</t>
  </si>
  <si>
    <t>Medulloepithelioma (MDEP)_髄上皮腫</t>
  </si>
  <si>
    <t>Medullomyoblastoma (MMB)_髄筋芽腫</t>
  </si>
  <si>
    <t>Melanotic Medulloblastoma (MMBL)_メラニン性髄芽腫</t>
  </si>
  <si>
    <t>Olfactory Neuroblastoma (ONBL)_嗅神経芽細胞腫</t>
  </si>
  <si>
    <t>Primitive Neuroectodermal Tumor (PNET)_原始神経外胚葉性腫瘍</t>
  </si>
  <si>
    <t>Encapsulated Glioma (ENCG)_被包性神経膠腫</t>
  </si>
  <si>
    <t>Dysembryoplastic Neuroepithelial Tumor (DNT)_胚芽異形成性神経上皮腫瘍</t>
  </si>
  <si>
    <t>Gangliocytoma (GNC)_神経節細胞腫</t>
  </si>
  <si>
    <t>Ganglioglioma (GNG)_神経節膠腫</t>
  </si>
  <si>
    <t>Pilocytic Astrocytoma (PAST)_毛様細胞性星細胞腫</t>
  </si>
  <si>
    <t>Pilomyxoid Astrocytoma (PMA)_毛様類粘液性星細胞腫</t>
  </si>
  <si>
    <t>Pleomorphic Xanthoastrocytoma (PXA)_多形黄色星細胞腫</t>
  </si>
  <si>
    <t>Ependymomal Tumor (EPMT)_上衣系腫瘍</t>
  </si>
  <si>
    <t>Anaplastic Ependymoma (APE)_退形成性上衣腫</t>
  </si>
  <si>
    <t>Clear Cell Ependymoma (CCE)_明細胞上衣腫</t>
  </si>
  <si>
    <t>Ependymoma (EPM)_上衣腫</t>
  </si>
  <si>
    <t>Myxopapillary Ependymoma (MPE)_粘液乳頭状上衣腫</t>
  </si>
  <si>
    <t>Subependymoma (SUBE)_上衣下腫</t>
  </si>
  <si>
    <t>Germ Cell Tumor, Brain (BGCT)_頭蓋内胚細胞腫瘍</t>
  </si>
  <si>
    <t>Choriocarcinoma (BCCA)_絨毛癌</t>
  </si>
  <si>
    <t>Embryonal Carcinoma (BEC)_胎児性癌</t>
  </si>
  <si>
    <t>Germinoma (GMN)_ジャーミノーマ（胚腫）</t>
  </si>
  <si>
    <t>Immature Teratoma (BIMT)_頭蓋内未熟奇形腫</t>
  </si>
  <si>
    <t>Malignant Teratoma (BMGT)_頭蓋内悪性奇形腫</t>
  </si>
  <si>
    <t>Mature Teratoma (BMT)_頭蓋内成熟奇形腫</t>
  </si>
  <si>
    <t>Mixed Germ Cell Tumor (BMGCT)_頭蓋内混合性胚細胞腫瘍</t>
  </si>
  <si>
    <t>Yolk Sac Tumor (BYST)_頭蓋内卵黄嚢腫瘍</t>
  </si>
  <si>
    <t>Meningothelial Tumor (MNGT)_髄膜腫</t>
  </si>
  <si>
    <t>Anaplastic Meningioma (ANM)_退形成性髄膜腫</t>
  </si>
  <si>
    <t>Atypical Meningioma (ATM)_異型髄膜腫</t>
  </si>
  <si>
    <t>Chordoid Meningioma (CHOM)_脊索腫様髄膜腫</t>
  </si>
  <si>
    <t>Clear cell Meningioma (CCM)_明細胞髄膜腫</t>
  </si>
  <si>
    <t>Hemangiopericytoma of the Central Nervous System (HPCCNS)_中枢神経系血管周皮腫</t>
  </si>
  <si>
    <t>Meningioma (MNG)_髄膜腫</t>
  </si>
  <si>
    <t>Papillary Meningioma (PPM)_乳頭状髄膜腫</t>
  </si>
  <si>
    <t>Rhabdoid Meningioma (RHM)_ラブドイド髄膜腫</t>
  </si>
  <si>
    <t>Solitary Fibrous Tumor of the Central Nervous System (SFTCNS)_中枢神経系孤立性線維性腫瘍</t>
  </si>
  <si>
    <t>Miscellaneous Brain Tumor (MBT)_その他脳腫瘍</t>
  </si>
  <si>
    <t>Hemangioblastoma (HMBL)_血管芽腫</t>
  </si>
  <si>
    <t>High-Grade Neuroepithelial Tumor (HGNET)_高悪性度神経上皮腫瘍</t>
  </si>
  <si>
    <t>Low-Grade Neuroepithelial Tumor (LGNET)_低悪性度神経上皮腫瘍</t>
  </si>
  <si>
    <t>Malignant Lymphoma (MLYM)_頭蓋内悪性リンパ腫</t>
  </si>
  <si>
    <t>Malignant Tumor (MT)_頭蓋内悪性腫瘍</t>
  </si>
  <si>
    <t>Mesenchymal Chondrosarcoma of the CNS (MCHSCNS)_中枢神経系間葉性軟骨肉腫</t>
  </si>
  <si>
    <t>Primary Brain Tumor (PBT)_原発性脳腫瘍</t>
  </si>
  <si>
    <t>Primary Neuroepithelial Tumor (PRNET)_原発性神経上皮腫瘍</t>
  </si>
  <si>
    <t>Miscellaneous Neuroepithelial Tumor (MNET)_その他の神経上皮腫瘍</t>
  </si>
  <si>
    <t>Angiocentric Glioma (ANGL)_血管中心性膠腫</t>
  </si>
  <si>
    <t>Astroblastoma (ASTB)_星芽腫</t>
  </si>
  <si>
    <t>Central Neurocytoma (CNC)_中枢性神経細胞腫</t>
  </si>
  <si>
    <t>Cerebellar Liponeurocytoma (CLNC)_小脳脂肪神経細胞腫</t>
  </si>
  <si>
    <t>Chordoid Glioma of the Third Ventricle (CHGL)_第三脳室脊索腫様膠腫</t>
  </si>
  <si>
    <t>Desmoplastic Infantile Astrocytoma (DIA)_線維形成性乳児星細胞腫</t>
  </si>
  <si>
    <t>Desmoplastic Infantile Ganglioglioma (DIG)_線維形成性乳児神経節膠腫</t>
  </si>
  <si>
    <t>Dysplastic Gangliocytoma of the Cerebellum/Lhermitte-Duclos Disease (LDD)_異形成性小脳神経節細胞腫/レーミッテ・ダクロス病</t>
  </si>
  <si>
    <t>Extraventricular Neurocytoma (EVN)_脳室外神経細胞腫</t>
  </si>
  <si>
    <t>Papillary Glioneuronal Tumor (PGNT)_乳頭状グリア神経細胞性腫瘍</t>
  </si>
  <si>
    <t>Rosette-forming Glioneuronal Tumor of the Fourth Ventricle (RGNT)_第4脳室ロゼット形成性グリア神経細胞腫瘍</t>
  </si>
  <si>
    <t>Pineal Tumor (PINT)_松果体部腫瘍</t>
  </si>
  <si>
    <t>Papillary Tumor of the Pineal Region (PTPR)_松果体部乳頭状腫瘍</t>
  </si>
  <si>
    <t>Pineal Parenchymal Tumor of Intermediate Differentiation (PPTID)_中間型松果体実質腫瘍</t>
  </si>
  <si>
    <t>Pineoblastoma (PBL)_松果体芽腫</t>
  </si>
  <si>
    <t>Pineocytoma (PINC)_松果体細胞腫</t>
  </si>
  <si>
    <t>Primary CNS Melanocytic Tumors (PCNSMT)_原発性中枢神経系メラニン細胞性腫瘍</t>
  </si>
  <si>
    <t>Melanocytoma (MELC)_メラニン細胞腫</t>
  </si>
  <si>
    <t>Primary CNS Melanoma (PCNSM)_原発性中枢神経系黒色腫</t>
  </si>
  <si>
    <t>Sellar Tumor (SELT)_トルコ鞍部腫瘍</t>
  </si>
  <si>
    <t>Atypical Pituitary Adenoma (APTAD)_異型下垂体腺腫</t>
  </si>
  <si>
    <t>Craniopharyngioma, Adamantinomatous Type (ACPG)_エナメル上皮腫型頭蓋咽頭腫</t>
  </si>
  <si>
    <t>Craniopharyngioma, Papillary Type (PCGP)_乳頭型頭蓋咽頭腫</t>
  </si>
  <si>
    <t>Granular Cell Tumor (GCT)_顆粒細胞腫</t>
  </si>
  <si>
    <t>Pituicytoma (PTCY)_下垂体細胞腫</t>
  </si>
  <si>
    <t>Pituitary Adenoma (PTAD)_下垂体腺腫</t>
  </si>
  <si>
    <t>Pituitary Carcinoma (PTCA)_下垂体癌</t>
  </si>
  <si>
    <t>Spindle Cell Oncocytoma of the Adenohypophysis (SCOAH)_腺下垂体紡錘形細胞オンコサイトーマ</t>
  </si>
  <si>
    <t>末梢神経系</t>
  </si>
  <si>
    <t>Ganglioneuroblastoma (GNBL)_神経節芽腫</t>
  </si>
  <si>
    <t>Ganglioneuroma (GN)_神経節腫</t>
  </si>
  <si>
    <t>Nerve Sheath Tumor (NST)_神経鞘腫</t>
  </si>
  <si>
    <t>Malignant Peripheral Nerve Sheath Tumor (MPNST)_悪性末梢神経鞘腫瘍</t>
  </si>
  <si>
    <t>Neurofibroma (NFIB)_神経線維腫</t>
  </si>
  <si>
    <t>Schwannoma (SCHW)_神経鞘腫</t>
  </si>
  <si>
    <t>Cellular Schwannoma (CSCHW)_富細胞型神経鞘腫</t>
  </si>
  <si>
    <t>Melanotic Schwannoma (MSCHW)_色素型神経鞘腫</t>
  </si>
  <si>
    <t>Neuroblastoma (NBL)_神経芽腫</t>
  </si>
  <si>
    <t>頭頸部</t>
  </si>
  <si>
    <t>Head and Neck Carcinoma, Other (OHNCA)_頭頸部癌、その他</t>
  </si>
  <si>
    <t>Adenosquamous Carcinoma of the Tongue (ASCT)_腺扁平上皮舌癌</t>
  </si>
  <si>
    <t>Epithelial-Myoepithelial Carcinoma (EMYOCA)_上皮筋上皮癌</t>
  </si>
  <si>
    <t>Head and Neck Neuroendocrine Carcinoma (HNNE)_頭頸部神経内分泌癌</t>
  </si>
  <si>
    <t>NUT Midline Carcinoma of the Head and Neck (NMCHN)_頭頸部NUT正中線癌</t>
  </si>
  <si>
    <t>Odontogenic Carcinoma (ODGC)_歯原性癌腫</t>
  </si>
  <si>
    <t>Clear Cell Odontogenic Carcinoma (CCOC)_明細胞性歯原性癌</t>
  </si>
  <si>
    <t>Sinonasal Adenocarcinoma (SNA)_副鼻腔腺癌</t>
  </si>
  <si>
    <t>Sinonasal Undifferentiated Carcinoma (SNUC)_副鼻腔未分化癌</t>
  </si>
  <si>
    <t>Head and Neck Mucosal Melanoma (HNMUCM)_頭頸部粘膜黒色腫</t>
  </si>
  <si>
    <t>Head and Neck Squamous Cell Carcinoma (HNSC)_頭頸部扁平上皮癌</t>
  </si>
  <si>
    <t>Head and Neck Squamous Cell Carcinoma of Unknown Primary (HNSCUP)_原発不明頭頸部扁平上皮癌</t>
  </si>
  <si>
    <t>Hypopharynx Squamous Cell Carcinoma (HPHSC)_下咽頭扁平上皮癌</t>
  </si>
  <si>
    <t>Larynx Squamous Cell Carcinoma (LXSC)_喉頭扁平上皮癌</t>
  </si>
  <si>
    <t>Oral Cavity Squamous Cell Carcinoma (OCSC)_口腔内扁平上皮癌</t>
  </si>
  <si>
    <t>Oropharynx Squamous Cell Carcinoma (OPHSC)_中咽頭扁平上皮癌</t>
  </si>
  <si>
    <t>Sinonasal Squamous Cell Carcinoma (SNSC)_副鼻腔扁平上皮癌</t>
  </si>
  <si>
    <t>Nasopharyngeal Carcinoma (NPC)_上咽頭癌</t>
  </si>
  <si>
    <t>Parathyroid Cancer (PTH)_副甲状腺癌</t>
  </si>
  <si>
    <t>Parathyroid Carcinoma (PTHC)_副甲状腺癌</t>
  </si>
  <si>
    <t>Salivary Carcinoma (SACA)_唾液腺癌</t>
  </si>
  <si>
    <t>Acinic Cell Carcinoma (ACCC)_腺房細胞癌</t>
  </si>
  <si>
    <t>Adenoid Cystic Carcinoma (ACYC)_腺様嚢胞癌</t>
  </si>
  <si>
    <t>Basal Cell Adenocarcinoma (BCAC)_基底細胞がん</t>
  </si>
  <si>
    <t>Carcinoma ex Pleomorphic Adenoma (CAEXPA)_悪性多形性腺腫</t>
  </si>
  <si>
    <t>Mammary Analogue Secretory Carcinoma of Salivary Gland Origin (HNMASC)_唾液腺起源の乳腺相似分泌癌</t>
  </si>
  <si>
    <t>Mucoepidermoid Carcinoma (MUCC)_粘表皮癌</t>
  </si>
  <si>
    <t xml:space="preserve">Myoepithelial Carcinoma (MYEC)_筋上皮癌 </t>
  </si>
  <si>
    <t>Pleomorphic Adenoma (PADA)_多形腺腫</t>
  </si>
  <si>
    <t>Polymorphous Adenocarcinoma (PAC)_多型腺がん</t>
  </si>
  <si>
    <t>Salivary Adenocarcinoma (SAAD)_唾液腺導管癌</t>
  </si>
  <si>
    <t>Salivary Carcinoma, Other (OSACA)_その他の唾液癌</t>
  </si>
  <si>
    <t>Salivary Duct Carcinoma (SDCA)_唾液管癌</t>
  </si>
  <si>
    <t>Salivary Gland Oncocytoma (SGO)_唾液腺好酸性細胞腫</t>
  </si>
  <si>
    <t>Sialoblastoma (SBL)_唾液腺芽腫</t>
  </si>
  <si>
    <t>眼</t>
  </si>
  <si>
    <t>Lacrimal Gland Tumor (LGT)_涙腺腫瘍</t>
  </si>
  <si>
    <t>Adenoid Cystic Carcinoma of the Lacrimal Gland (ACLG)_涙腺腺様嚢胞がん</t>
  </si>
  <si>
    <t>Squamous Cell Carcinoma of the Lacrimal Gland (SCLG)_涙腺扁平上皮がん</t>
  </si>
  <si>
    <t>Ocular Melanoma (OM)_眼内色素細胞性腫瘍</t>
  </si>
  <si>
    <t>Conjunctival Melanoma (CM)_結膜黒色腫</t>
  </si>
  <si>
    <t>Uveal Melanoma (UM)_ブドウ膜黒色腫</t>
  </si>
  <si>
    <t>Retinoblastoma (RBL)_網膜芽細胞腫</t>
  </si>
  <si>
    <t>Anaplastic Thyroid Cancer (THAP)_甲状腺退形成癌/未分化癌</t>
  </si>
  <si>
    <t>Hurthle Cell Thyroid Cancer (THHC)_甲状腺ヒュルトレ細胞癌</t>
  </si>
  <si>
    <t xml:space="preserve">Hyalinizing Trabecular Adenoma of the Thyroid (HTAT)_甲状腺硝子化索状腺腫 </t>
  </si>
  <si>
    <t>Medullary Thyroid Cancer (THME)_甲状腺髄様癌</t>
  </si>
  <si>
    <t>Oncocytic Adenoma of the Thyroid (OAT)_甲状腺好酸性細胞腺腫</t>
  </si>
  <si>
    <t>Poorly Differentiated Thyroid Cancer (THPD)_甲状腺低分化癌</t>
  </si>
  <si>
    <t>Well-Differentiated Thyroid Cancer (WDTC)_甲状腺高分化腫瘍</t>
  </si>
  <si>
    <t>Follicular Thyroid Cancer (THFO)_濾胞性甲状腺癌</t>
  </si>
  <si>
    <t>Papillary Thyroid Cancer (THPA)_乳頭様甲状腺癌</t>
  </si>
  <si>
    <t>Combined Small Cell Lung Carcinoma (CSCLC)_混合型小細胞肺癌</t>
  </si>
  <si>
    <t>Inflammatory Myofibroblastic Lung Tumor (IMTL)_肺炎症性筋線維芽細胞腫</t>
  </si>
  <si>
    <t>Lung Adenocarcinoma In Situ (LAIS)_肺上皮内腺癌</t>
  </si>
  <si>
    <t>Lung Neuroendocrine Tumor (LNET)_肺神経内分泌腫瘍</t>
  </si>
  <si>
    <t>Atypical Lung Carcinoid (ALUCA)_肺非定型的肺カルチノイド</t>
  </si>
  <si>
    <t>Large Cell Neuroendocrine Carcinoma (LUNE)_肺大細胞神経内分泌癌</t>
  </si>
  <si>
    <t>Lung Carcinoid (LUCA)_肺カルチノイド腫瘍</t>
  </si>
  <si>
    <t>Small Cell Lung Cancer (SCLC)_小細胞肺癌</t>
  </si>
  <si>
    <t>Non-Small Cell Lung Cancer (NSCLC)_非小細胞肺癌</t>
  </si>
  <si>
    <t>Ciliated Muconodular Papillary Tumor of the Lung (CMPT)_線毛性粘液結節性乳頭状肺腫瘍</t>
  </si>
  <si>
    <t>Large Cell Lung Carcinoma (LCLC)_肺大細胞癌</t>
  </si>
  <si>
    <t>Basaloid Large Cell Carcinoma of the Lung (BLCLC)_肺類基底細胞型大細胞癌</t>
  </si>
  <si>
    <t>Clear Cell Carcinoma of the Lung (CCLC)_肺明細胞癌</t>
  </si>
  <si>
    <t>Giant Cell Carcinoma of the Lung (GCLC)_肺巨細胞癌</t>
  </si>
  <si>
    <t>Large Cell Lung Carcinoma With Rhabdoid Phenotype (RLCLC)_肺ラブドイド形質を伴う大細胞癌</t>
  </si>
  <si>
    <t>Lymphoepithelioma-like Carcinoma of the Lung (LECLC)_肺リンパ上皮腫様癌</t>
  </si>
  <si>
    <t>Lung Adenocarcinoma (LUAD)_肺腺癌</t>
  </si>
  <si>
    <t>Lung Adenosquamous Carcinoma (LUAS)_肺腺扁平上皮癌</t>
  </si>
  <si>
    <t>Lung Squamous Cell Carcinoma (LUSC)_肺扁平上皮癌</t>
  </si>
  <si>
    <t>NUT Carcinoma of the Lung (NUTCL)_肺NUT転座癌</t>
  </si>
  <si>
    <t>Pleomorphic Carcinoma of the Lung (LUPC)_肺多形癌</t>
  </si>
  <si>
    <t>Salivary Gland-Type Tumor of the Lung (SGTTL)_唾液腺型肺癌</t>
  </si>
  <si>
    <t>Adenoid Cystic Carcinoma of the Lung (LUACC)_肺腺様嚢胞癌</t>
  </si>
  <si>
    <t>Mucoepidermoid Carcinoma of the Lung (LUMEC)_肺粘表皮癌</t>
  </si>
  <si>
    <t>Spindle Cell Carcinoma of the Lung (SPCC)_肺紡錘細胞癌</t>
  </si>
  <si>
    <t>Pleuropulmonary Blastoma (PPB)_胸膜肺芽腫</t>
  </si>
  <si>
    <t>Pulmonary Lymphangiomyomatosis (LAM)_肺リンパ管筋腫症/PEComa</t>
  </si>
  <si>
    <t>Sarcomatoid Carcinoma of the Lung (SARCL)_肺肉腫様癌</t>
  </si>
  <si>
    <t>Pleural Mesothelioma (PLMESO)_胸膜中皮腫</t>
  </si>
  <si>
    <t>Pleural Mesothelioma, Biphasic Type (PLBMESO)_二相型胸膜中皮腫</t>
  </si>
  <si>
    <t>Pleural Mesothelioma, Epithelioid Type (PLEMESO)_上皮型胸膜中皮腫</t>
  </si>
  <si>
    <t>Pleural Mesothelioma, Sarcomatoid Type (PLSMESO)_肉腫型胸膜中皮腫</t>
  </si>
  <si>
    <t>Thymic Epithelial Tumor (TET)_胸腺上皮性腫瘍</t>
  </si>
  <si>
    <t>Thymic Carcinoma (THYC)_胸腺癌</t>
  </si>
  <si>
    <t>Thymoma (THYM)_胸腺腫</t>
  </si>
  <si>
    <t>Thymic Neuroendocrine Tumor (TNET)_胸腺神経内分泌腫瘍</t>
  </si>
  <si>
    <t>Adenomyoepithelioma of the Breast (BRAME)_腺筋上皮腫</t>
  </si>
  <si>
    <t>Breast Ductal Carcinoma In Situ (DCIS)_非浸潤性乳管癌</t>
  </si>
  <si>
    <t>Paget Disease of the Nipple (PD)_パジェット病</t>
  </si>
  <si>
    <t>Breast Fibroepithelial Neoplasms (BFN)_線維上皮性腫瘍</t>
  </si>
  <si>
    <t>Fibroadenoma (FA)_線維腺腫</t>
  </si>
  <si>
    <t>Phyllodes Tumor of the Breast (PT)_葉状腫瘍</t>
  </si>
  <si>
    <t>Benign Phyllodes Tumor of the Breast (BPT)_良性葉状腫瘍</t>
  </si>
  <si>
    <t>Borderline Phyllodes Tumor of the Breast (BLPT)_境界悪性葉状腫瘍</t>
  </si>
  <si>
    <t>Malignant Phyllodes Tumor of the Breast (MPT)_悪性葉状腫瘍</t>
  </si>
  <si>
    <t>Breast Lobular Carcinoma In Situ (LCIS)_非浸潤性小葉癌</t>
  </si>
  <si>
    <t>Breast Sarcoma (PBS)_乳腺肉腫</t>
  </si>
  <si>
    <t>Breast Angiosarcoma (BA)_血管肉腫</t>
  </si>
  <si>
    <t>Inflammatory Breast Cancer (IBC)_炎症性乳癌</t>
  </si>
  <si>
    <t>Invasive Breast Carcinoma (BRCA)_浸潤性乳癌</t>
  </si>
  <si>
    <t>Adenoid Cystic Breast Cancer (ACBC)_腺様嚢胞癌</t>
  </si>
  <si>
    <t>Breast Carcinoma with Signet Ring (BRSRCC)_印環細胞を伴う乳癌</t>
  </si>
  <si>
    <t>Breast Invasive Cancer, NOS (BRCANOS)_浸潤性乳癌、特定不能</t>
  </si>
  <si>
    <t>Breast Invasive Carcinoma, NOS (BRCNOS)_浸潤性乳癌、特定不能</t>
  </si>
  <si>
    <t>Breast Invasive Carcinosarcoma, NOS (CSNOS)_浸潤性癌肉腫、特定不能</t>
  </si>
  <si>
    <t>Breast Invasive Ductal Carcinoma (IDC)_浸潤性乳管癌</t>
  </si>
  <si>
    <t>Breast Invasive Lobular Carcinoma (ILC)_浸潤性小葉癌</t>
  </si>
  <si>
    <t>Breast Invasive Mixed Mucinous Carcinoma (IMMC)_浸潤性乳癌（粘液癌との混合型）</t>
  </si>
  <si>
    <t>Breast Mixed Ductal and Lobular Carcinoma (MDLC)_浸潤性乳癌（乳管癌と小葉癌の混合型）</t>
  </si>
  <si>
    <t>Solid Papillary Carcinoma of the Breast (SPC)_充実乳頭癌</t>
  </si>
  <si>
    <t>Juvenile Secretory Carcinoma of the Breast (JSCB)_分泌癌</t>
  </si>
  <si>
    <t>Metaplastic Breast Cancer (MBC)_化生癌</t>
  </si>
  <si>
    <t>Epithelial Type Metaplastic Breast Cancer (EMBC)_上皮型化生癌</t>
  </si>
  <si>
    <t>Metaplastic Adenocarcinoma with Spindle Cell Differentiation (MASCC)_紡錘細胞癌</t>
  </si>
  <si>
    <t>Mixed Type Metaplastic Breast Cancer (MMBC)_混合型化生癌</t>
  </si>
  <si>
    <t xml:space="preserve">Carcinoma with Chondroid Metaplasia (CCHM)_軟骨化生を伴う癌 </t>
  </si>
  <si>
    <t>Carcinoma with Osseous Metaplasia (COM)_骨化生を伴う癌</t>
  </si>
  <si>
    <t>Metaplastic Carcinosarcoma (MCS)_化生癌肉腫</t>
  </si>
  <si>
    <t>食道/胃</t>
  </si>
  <si>
    <t>Esophageal Poorly Differentiated Carcinoma (EPDCA)_食道低分化癌</t>
  </si>
  <si>
    <t>Esophageal Squamous Cell Carcinoma (ESCC)_食道扁平上皮癌</t>
  </si>
  <si>
    <t>Esophagogastric Adenocarcinoma (EGC)_食道胃腺癌</t>
  </si>
  <si>
    <t>Adenocarcinoma of the Gastroesophageal Junction (GEJ)_食道胃接合部腺癌</t>
  </si>
  <si>
    <t>Adenosquamous Carcinoma of the Stomach (STAS)_腺扁平上皮胃癌</t>
  </si>
  <si>
    <t>Esophageal Adenocarcinoma (ESCA)_食道腺癌</t>
  </si>
  <si>
    <t>Gastric Remnant Adenocarcinoma (GRC)_残胃癌</t>
  </si>
  <si>
    <t>Small Cell Carcinoma of the Stomach (STSC)_胃小細胞癌</t>
  </si>
  <si>
    <t>Stomach Adenocarcinoma (STAD)_胃腺癌</t>
  </si>
  <si>
    <t>Diffuse Type Stomach Adenocarcinoma (DSTAD)_びまん型胃腺癌</t>
  </si>
  <si>
    <t>Intestinal Type Stomach Adenocarcinoma (ISTAD)_腸型胃腺癌</t>
  </si>
  <si>
    <t>Mucinous Stomach Adenocarcinoma (MSTAD)_粘液性胃腺癌</t>
  </si>
  <si>
    <t>Papillary Stomach Adenocarcinoma (PSTAD)_乳頭胃腺癌</t>
  </si>
  <si>
    <t>Tubular Stomach Adenocarcinoma (TSTAD)_管状胃腺癌</t>
  </si>
  <si>
    <t>Undifferentiated Stomach Adenocarcinoma (USTAD)_胃未分化腺癌</t>
  </si>
  <si>
    <t>Poorly Differentiated Carcinoma of the Stomach (SPDAC)_低分化胃癌</t>
  </si>
  <si>
    <t>Signet Ring Cell Carcinoma of the Stomach (SSRCC)_印環細胞胃癌</t>
  </si>
  <si>
    <t>Gastrointestinal Neuroendocrine Tumors of the Esophagus/Stomach (GINETES)_消化管神経内分泌腫瘍　食道/胃</t>
  </si>
  <si>
    <t>High-Grade Neuroendocrine Carcinoma of the Esophagus (HGNEE)_食道高悪性度神経内分泌癌</t>
  </si>
  <si>
    <t>High-Grade Neuroendocrine Carcinoma of the Stomach (HGNES)_胃高悪性度神経内分泌癌</t>
  </si>
  <si>
    <t>Well-Differentiated Neuroendocrine Tumors of the Stomach (SWDNET)_胃高分化神経内分泌腫瘍</t>
  </si>
  <si>
    <t>Mucosal Melanoma of the Esophagus (ESMM)_食道粘膜悪性黒色腫</t>
  </si>
  <si>
    <t>Smooth Muscle Neoplasm, NOS (SMN)_食道/胃平滑筋新生物、特定不能</t>
  </si>
  <si>
    <t>Anal Gland Adenocarcinoma (AGA)_肛門腺腺癌</t>
  </si>
  <si>
    <t>Anal Squamous Cell Carcinoma (ANSC)_肛門扁平上皮癌</t>
  </si>
  <si>
    <t>Anorectal Mucosal Melanoma (ARMM)_直腸肛門粘膜悪性黒色腫</t>
  </si>
  <si>
    <t>Appendiceal Adenocarcinoma (APAD)_虫垂腺癌</t>
  </si>
  <si>
    <t>Colonic Type Adenocarcinoma of the Appendix (CTAAP)_結腸型虫垂腺癌</t>
  </si>
  <si>
    <t>Goblet Cell Carcinoid of the Appendix (GCCAP)_虫垂杯細胞カルチノイド</t>
  </si>
  <si>
    <t>Mucinous Adenocarcinoma of the Appendix (MAAP)_虫垂粘液性腺癌</t>
  </si>
  <si>
    <t>Signet Ring Cell Type of the Appendix (SRAP)_虫垂印環細胞癌</t>
  </si>
  <si>
    <t>Colorectal Adenocarcinoma (COADREAD)_結腸直腸腺癌</t>
  </si>
  <si>
    <t>Colon Adenocarcinoma (COAD)_大腸腺癌</t>
  </si>
  <si>
    <t>Colon Adenocarcinoma In Situ (CAIS)_大腸上皮内腺癌</t>
  </si>
  <si>
    <t>Mucinous Adenocarcinoma of the Colon and Rectum (MACR)_結腸直腸粘液腺癌</t>
  </si>
  <si>
    <t>Rectal Adenocarcinoma (READ)_直腸腺癌</t>
  </si>
  <si>
    <t>Signet Ring Cell Adenocarcinoma of the Colon and Rectum (SRCCR)_結腸直腸印環細胞線癌</t>
  </si>
  <si>
    <t>Gastrointestinal Neuroendocrine Tumors (GINET)_消化管神経内分泌腫瘍</t>
  </si>
  <si>
    <t>High-Grade Neuroendocrine Carcinoma of the Colon and Rectum (HGNEC)_結腸直腸高悪性度神経内分泌腫瘍</t>
  </si>
  <si>
    <t>Small Bowel Well-Differentiated Neuroendocrine Tumor (SBWDNET)_小腸高分化神経内分泌腫瘍</t>
  </si>
  <si>
    <t>Well-Differentiated Neuroendocrine Tumor of the Appendix (AWDNET)_虫垂高分化神経内分泌腫瘍</t>
  </si>
  <si>
    <t>Well-Differentiated Neuroendocrine Tumor of the Rectum (RWDNET)_直腸高分化神経内分泌腫瘍</t>
  </si>
  <si>
    <t>Low-grade Appendiceal Mucinous Neoplasm (LAMN)_低異型度虫垂粘液性腫瘍</t>
  </si>
  <si>
    <t>Medullary Carcinoma of the Colon (CMC)_結腸髄様癌</t>
  </si>
  <si>
    <t>Small Bowel Cancer (SBC)_小腸癌</t>
  </si>
  <si>
    <t>Duodenal Adenocarcinoma (DA)_十二指腸腺癌</t>
  </si>
  <si>
    <t>Small Intestinal Carcinoma (SIC)_小腸癌</t>
  </si>
  <si>
    <t>Tubular Adenoma of the Colon (TAC)_大腸管状線腫</t>
  </si>
  <si>
    <t>Ampullary Carcinoma (AMPCA)_十二指腸乳頭部癌</t>
  </si>
  <si>
    <t>Intestinal Ampullary Carcinoma (IAMPCA)_十二指腸乳頭部癌 腸型</t>
  </si>
  <si>
    <t>Mixed Ampullary Carcinoma (MAMPCA)_十二指腸乳頭部癌 混合型</t>
  </si>
  <si>
    <t>Pancreatobiliary Ampullary Carcinoma (PAMPCA)_十二指腸乳頭部癌 膵胆道型</t>
  </si>
  <si>
    <t>Peritoneal Mesothelioma (PEMESO)_腹膜中皮腫</t>
  </si>
  <si>
    <t>Peritoneal Serous Carcinoma (PSEC)_腹膜漿液性癌</t>
  </si>
  <si>
    <t>Fibrolamellar Carcinoma (FLC)_肝細胞癌線維層状型</t>
  </si>
  <si>
    <t>Hepatoblastoma (LIHB)_肝芽腫</t>
  </si>
  <si>
    <t>Hepatocellular Adenoma (LIAD)_肝細胞腺腫</t>
  </si>
  <si>
    <t>Hepatocellular Carcinoma (HCC)_肝細胞癌</t>
  </si>
  <si>
    <t>Hepatocellular Carcinoma plus Intrahepatic Cholangiocarcinoma (HCCIHCH)_混合型肝細胞癌</t>
  </si>
  <si>
    <t>Liver Angiosarcoma (LIAS)_肝血管肉腫</t>
  </si>
  <si>
    <t>Malignant Nonepithelial Tumor of the Liver (LIMNET)_悪性非上皮性肝腫瘍</t>
  </si>
  <si>
    <t>Malignant Rhabdoid Tumor of the Liver (MRTL)_悪性肝ラブドイド腫瘍</t>
  </si>
  <si>
    <t>Undifferentiated Embryonal Sarcoma of the Liver (UESL)_肝胎児性未分化肉腫</t>
  </si>
  <si>
    <t>Cholangiocarcinoma (CHOL)_胆管癌</t>
  </si>
  <si>
    <t>Extrahepatic Cholangiocarcinoma (EHCH)_肝外胆管癌</t>
  </si>
  <si>
    <t>Intrahepatic Cholangiocarcinoma (IHCH)_肝内胆管癌</t>
  </si>
  <si>
    <t>Perihilar Cholangiocarcinoma (PHCH)_肝門部胆管癌</t>
  </si>
  <si>
    <t>Gallbladder Cancer (GBC)_胆嚢癌</t>
  </si>
  <si>
    <t>Adenosquamous Carcinoma of the Gallbladder (GBASC)_胆嚢腺扁平上皮癌</t>
  </si>
  <si>
    <t>Small Cell Gallbladder Carcinoma (SCGBC)_胆嚢小細胞癌</t>
  </si>
  <si>
    <t>Intracholecystic Papillary Neoplasm (ICPN)_胆囊内乳頭状腫瘍</t>
  </si>
  <si>
    <t>Intraductal Papillary Neoplasm of the Bile Duct (IPN)_胆管内乳頭状腫瘍</t>
  </si>
  <si>
    <t>Acinar Cell Carcinoma of the Pancreas (PAAC)_膵腺房細胞癌</t>
  </si>
  <si>
    <t>Adenosquamous Carcinoma of the Pancreas (PAASC)_膵腺扁平上皮癌</t>
  </si>
  <si>
    <t>Cystic Tumor of the Pancreas (PACT)_膵嚢胞性腫瘍</t>
  </si>
  <si>
    <t>Intraductal Oncocytic Papillary Neoplasm (IOPN)_膵管内オンコサイト乳頭腫瘍</t>
  </si>
  <si>
    <t>Intraductal Papillary Mucinous Neoplasm (IPMN)_膵管内乳頭粘液性腫瘍</t>
  </si>
  <si>
    <t>Intraductal Tubulopapillary Neoplasm (ITPN)_膵管内乳頭管状腫瘍</t>
  </si>
  <si>
    <t>Mucinous Cystic Neoplasm (MCN)_膵粘液性嚢胞腫瘍</t>
  </si>
  <si>
    <t>Serous Cystadenoma of the Pancreas (PSC)_膵漿液性嚢胞腺腫</t>
  </si>
  <si>
    <t>Pancreatic Adenocarcinoma (PAAD)_膵腺癌</t>
  </si>
  <si>
    <t>Pancreatic Neuroendocrine Tumor (PANET)_膵神経内分泌腫瘍</t>
  </si>
  <si>
    <t>Pancreatoblastoma (PB)_膵芽腫</t>
  </si>
  <si>
    <t>Solid Pseudopapillary Neoplasm of the Pancreas (SPN)_膵充実性偽乳頭状腫瘍</t>
  </si>
  <si>
    <t>Undifferentiated Carcinoma of the Pancreas (UCP)_膵未分化癌 (膵退形成癌)</t>
  </si>
  <si>
    <t>Osteoclastic Giant Cell Tumor (OSGCT)_膵未分化癌 (膵退形成癌)破骨細胞型巨細胞を伴う</t>
  </si>
  <si>
    <t>Adrenocortical Adenoma (ACA)_副腎皮質腺腫</t>
  </si>
  <si>
    <t>Adrenocortical Carcinoma (ACC)_副腎皮質癌</t>
  </si>
  <si>
    <t>Pheochromocytoma (PHC)_褐色細胞腫</t>
  </si>
  <si>
    <t>Clear Cell Sarcoma of Kidney (CCSK)_腎明細胞肉腫</t>
  </si>
  <si>
    <t>Renal Cell Carcinoma (RCC)_腎細胞癌</t>
  </si>
  <si>
    <t>Renal Clear Cell Carcinoma (CCRCC)_淡明細胞型腎細胞癌</t>
  </si>
  <si>
    <t>Renal Clear Cell Carcinoma with Sarcomatoid Features (SCCRCC)_肉腫様特徴を有する淡明細胞型腎細胞癌</t>
  </si>
  <si>
    <t>Renal Non-Clear Cell Carcinoma (NCCRCC)_非淡明細胞型腎細胞癌</t>
  </si>
  <si>
    <t>Chromophobe Renal Cell Carcinoma (CHRCC)_嫌色素性腎細胞癌</t>
  </si>
  <si>
    <t>Clear Cell Papillary Renal Cell Carcinoma (CCPRC)_淡明細胞型乳頭状腎細胞癌</t>
  </si>
  <si>
    <t>Collecting Duct Renal Cell Carcinoma (CDRCC)_集合管腎細胞癌</t>
  </si>
  <si>
    <t>FH-Deficient Renal Cell Carcinoma (FHRCC)_FH欠乏性腎細胞癌</t>
  </si>
  <si>
    <t>Papillary Renal Cell Carcinoma (PRCC)_乳頭状腎細胞癌</t>
  </si>
  <si>
    <t>Renal Angiomyolipoma (RAML)_腎血管筋脂肪腫</t>
  </si>
  <si>
    <t>Renal Medullary Carcinoma (MRC)_腎髄様癌</t>
  </si>
  <si>
    <t>Renal Mucinous Tubular Spindle Cell Carcinoma (MTSCC)_腎粘液管状紡錘細胞癌</t>
  </si>
  <si>
    <t>Renal Oncocytoma (ROCY)_腎膨大細胞腫</t>
  </si>
  <si>
    <t>Renal Small Cell Carcinoma (RSCC)_腎小細胞癌</t>
  </si>
  <si>
    <t>Sarcomatoid Renal Cell Carcinoma (SRCC)_肉腫様腎細胞癌</t>
  </si>
  <si>
    <t>Translocation-Associated Renal Cell Carcinoma (TRCC)_転座型腎細胞癌</t>
  </si>
  <si>
    <t>Unclassified Renal Cell Carcinoma (URCC)_分類不能型腎細胞癌</t>
  </si>
  <si>
    <t>Renal Neuroendocrine Tumor (RNET)_腎神経内分泌腫瘍</t>
  </si>
  <si>
    <t>Rhabdoid Cancer (MRT)_腎ラブドイド腫瘍</t>
  </si>
  <si>
    <t>Wilms' Tumor (WT)_ウィルムス腫瘍</t>
  </si>
  <si>
    <t>Bladder Adenocarcinoma (BLAD)_膀胱腺癌</t>
  </si>
  <si>
    <t>Bladder Squamous Cell Carcinoma (BLSC)_膀胱扁平上皮癌</t>
  </si>
  <si>
    <t>Bladder Urothelial Carcinoma (BLCA)_膀胱尿路上皮癌</t>
  </si>
  <si>
    <t>Inflammatory Myofibroblastic Bladder Tumor (IMTB)_膀胱炎症性筋線維芽細胞性腫瘍</t>
  </si>
  <si>
    <t>Inverted Urothelial Papilloma (IUP)_尿路上皮内反性乳頭腫</t>
  </si>
  <si>
    <t>Mucosal Melanoma of the Urethra (URMM)_尿道粘膜（悪性）黒色腫</t>
  </si>
  <si>
    <t>Plasmacytoid/Signet Ring Cell Bladder Carcinoma (SRCBC)_膀胱形質細胞様/印環細胞癌</t>
  </si>
  <si>
    <t>Sarcomatoid Carcinoma of the Urinary Bladder (SCB)_膀胱肉腫様癌</t>
  </si>
  <si>
    <t>Small Cell Bladder Cancer (SCBC)_膀胱小細胞癌</t>
  </si>
  <si>
    <t>Upper Tract Urothelial Carcinoma (UTUC)_上部尿路上皮癌</t>
  </si>
  <si>
    <t>Urachal Carcinoma (URCA)_尿膜管癌</t>
  </si>
  <si>
    <t>Urachal Adenocarcinoma (UA)_尿膜管腺癌</t>
  </si>
  <si>
    <t>Urethral Cancer (UCA)_尿道癌</t>
  </si>
  <si>
    <t>Urethral Adenocarcinoma (UAD)_尿道腺癌</t>
  </si>
  <si>
    <t>Urethral Squamous Cell Carcinoma (USCC)_尿道扁平上皮癌</t>
  </si>
  <si>
    <t>Urethral Urothelial Carcinoma (UCU)_尿道尿路上皮癌</t>
  </si>
  <si>
    <t>Urothelial Papilloma (UPA)_尿路上皮乳頭腫</t>
  </si>
  <si>
    <t>Ovarian Cancer, Other (OOVC)_卵巣癌、その他</t>
  </si>
  <si>
    <t>高悪性度神経内分泌系卵巣癌</t>
  </si>
  <si>
    <t>高悪性度漿液性卵管癌</t>
  </si>
  <si>
    <t>Ovarian Epithelial Tumor (OVT)_上皮性卵巣癌</t>
  </si>
  <si>
    <t>Brenner Tumor (BTOV)_ブレンナー腫瘍</t>
  </si>
  <si>
    <t>Brenner Tumor, Benign (BTBEOV)_ブレンナー腫瘍（良性）</t>
  </si>
  <si>
    <t>Brenner Tumor, Borderline (BTBOV)_ブレンナー腫瘍（境界悪性）</t>
  </si>
  <si>
    <t>Brenner Tumor, Malignant (BTMOV)_ブレンナー腫瘍（悪性）</t>
  </si>
  <si>
    <t>Clear Cell Borderline Ovarian Tumor (CCBOV)_明細胞境界悪性卵巣腫瘍</t>
  </si>
  <si>
    <t>Clear Cell Ovarian Cancer (CCOV)_明細胞卵巣癌</t>
  </si>
  <si>
    <t>Endometrioid Borderlin Ovarian Tumor (EBOV)_類内膜境界悪性卵巣腫瘍</t>
  </si>
  <si>
    <t>Endometrioid Ovarian Cancer (EOV)_類子宮内膜卵巣癌</t>
  </si>
  <si>
    <t>Mixed Ovarian Carcinoma (MXOV)_混合性卵巣癌</t>
  </si>
  <si>
    <t>Mucinous Borderline Ovarian Tumor (MBOV)_粘液性境界悪性卵巣腫瘍</t>
  </si>
  <si>
    <t>Mucinous Ovarian Cancer (MOV)_粘液性卵巣癌</t>
  </si>
  <si>
    <t>Ovarian Carcinosarcoma/Malignant Mixed Mesodermal Tumor (OCS)_卵巣の癌肉腫/悪性混合ミュラー管（中胚葉）腫瘍</t>
  </si>
  <si>
    <t>Ovarian Seromucinous Adenoma (OSMAD)_漿粘液性卵巣腺腫</t>
  </si>
  <si>
    <t>Ovarian Seromucinous Borderline Tumor (OSMBT)_漿粘液性境界悪性卵巣腫瘍</t>
  </si>
  <si>
    <t>Ovarian Seromucinous Carcinoma (OSMCA)_漿粘液性卵巣癌腫</t>
  </si>
  <si>
    <t>Serous Borderline Ovarian Tumor (SBOV)_漿液性境界型卵巣腫瘍</t>
  </si>
  <si>
    <t>Serous Borderline Ovarian Tumor, Micropapillary (SBMOV)_微小乳頭状パターンを伴う漿液性境界卵巣腫瘍</t>
  </si>
  <si>
    <t>Serous Ovarian Cancer (SOC)_漿液性卵巣癌</t>
  </si>
  <si>
    <t>High-Grade Serous Ovarian Cancer (HGSOC)_卵巣高悪性度漿液性腺癌</t>
  </si>
  <si>
    <t>Low-Grade Serous Ovarian Cancer (LGSOC)_卵巣低悪性度漿液性腺癌</t>
  </si>
  <si>
    <t>Small Cell Carcinoma of the Ovary (SCCO)_小細胞卵巣癌</t>
  </si>
  <si>
    <t>Ovarian Germ Cell Tumor (OGCT)_卵巣胚細胞腫瘍</t>
  </si>
  <si>
    <t>Dysgerminoma (ODYS)_卵巣未分化胚細胞腫</t>
  </si>
  <si>
    <t>Immature Teratoma (OIMT)_卵巣未熟奇形腫</t>
  </si>
  <si>
    <t>Mature Teratoma (OMT)_卵巣成熟奇形腫</t>
  </si>
  <si>
    <t>Mixed Germ Cell Tumor (OMGCT)_卵巣混合性胚細胞腫瘍</t>
  </si>
  <si>
    <t>Polyembryoma (OPE)_卵巣多胚腫</t>
  </si>
  <si>
    <t>Yolk Sac Tumor (OYST)_卵巣卵黄嚢腫瘍</t>
  </si>
  <si>
    <t>Sex Cord Stromal Tumor (SCST)_性索間質腫瘍</t>
  </si>
  <si>
    <t>Fibrothecoma (FT)_卵巣線維莢膜細胞種</t>
  </si>
  <si>
    <t>Gonadoblastoma (OGBL)_卵巣生殖腺芽細胞腫</t>
  </si>
  <si>
    <t>Granulosa Cell Tumor (GRCT)_卵巣顆粒膜細胞腫</t>
  </si>
  <si>
    <t>Sertoli-Leydig Cell Tumor (SLCT)_卵巣セルトリー・ライデッグ細胞腫</t>
  </si>
  <si>
    <t>Endometrial Carcinoma (UCEC)_子宮内膜癌</t>
  </si>
  <si>
    <t>Poorly Differentiated Carcinoma of the Uterus (UPDC)_子宮低分化癌</t>
  </si>
  <si>
    <t>Uterine Adenosquamous Carcinoma (UASC)_子宮腺扁平上皮癌</t>
  </si>
  <si>
    <t>Uterine Carcinosarcoma/Uterine Malignant Mixed Mullerian Tumor (UCS)_子宮肉腫/(子宮)悪性ミュラー管混合腫瘍</t>
  </si>
  <si>
    <t>Uterine Clear Cell Carcinoma (UCCC)_子宮明細胞癌</t>
  </si>
  <si>
    <t>Uterine Dedifferentiated Carcinoma (UDDC)_子宮脱分化癌</t>
  </si>
  <si>
    <t>Uterine Endometrioid Carcinoma (UEC)_子宮類内膜腺癌</t>
  </si>
  <si>
    <t>Uterine Mesonephric Carcinoma (UMNC)_子宮中腎癌</t>
  </si>
  <si>
    <t>Uterine Mixed Endometrial Carcinoma (UMEC)_子宮混合内膜癌</t>
  </si>
  <si>
    <t>Uterine Mucinous Carcinoma (UMC)_子宮粘液癌</t>
  </si>
  <si>
    <t>Uterine Neuroendocrine Carcinoma (UNEC)_子宮神経内分泌癌</t>
  </si>
  <si>
    <t>Uterine Serous Carcinoma/Uterine Papillary Serous Carcinoma (USC)_子宮漿液性癌/子宮乳頭状漿液性癌</t>
  </si>
  <si>
    <t>Uterine Undifferentiated Carcinoma (UUC)_子宮未分化癌</t>
  </si>
  <si>
    <t>Gestational Trophoblastic Disease (GTD)_妊娠性絨毛疾患</t>
  </si>
  <si>
    <t>Choriocarcinoma (UCCA)_絨毛癌</t>
  </si>
  <si>
    <t>Epithelioid Trophoblastic Tumor (ETT)_類上皮性トロホブラスト腫瘍</t>
  </si>
  <si>
    <t>Molar Pregnancy (MP)_奇胎妊娠</t>
  </si>
  <si>
    <t>Complete Hydatidiform Mole (CHM)_全胞状奇胎</t>
  </si>
  <si>
    <t>Invasive Hydatidiform Mole (IHM)_浸潤性胞状奇胎</t>
  </si>
  <si>
    <t>Partial Hydatidiform Mole (PHM)_部分胞状奇胎</t>
  </si>
  <si>
    <t>Placental Site Trophoblastic Tumor (PSTT)_胎盤部トロホブラスト腫瘍</t>
  </si>
  <si>
    <t>Other Uterine Tumor (OUTT)_その他子宮癌</t>
  </si>
  <si>
    <t>Uterine Sarcoma/Mesenchymal (USARC)_子宮肉腫/間葉系</t>
  </si>
  <si>
    <t>Endometrial Stromal Sarcoma (ESS)_子宮内膜間質肉腫</t>
  </si>
  <si>
    <t>High-Grade Endometrial Stromal Sarcoma (HGESS)_高悪性度子宮内膜間質肉腫</t>
  </si>
  <si>
    <t>Low-Grade Endometrial Stromal Sarcoma (LGESS)_低悪性度子宮内膜間質肉腫</t>
  </si>
  <si>
    <t>Undifferentiated Uterine Sarcoma (UUS)_子宮未分化肉腫</t>
  </si>
  <si>
    <t>Uterine Adenosarcoma (UAS)_子宮腺肉腫</t>
  </si>
  <si>
    <t>Uterine Perivascular Epithelioid Cell Tumor (UPECOMA)_子宮血管周囲性類上皮細胞性腫瘍</t>
  </si>
  <si>
    <t>Uterine Sarcoma, Other (OUSARC)_その他の子宮肉腫</t>
  </si>
  <si>
    <t>Uterine Smooth Muscle Tumor (USMT)_子宮平滑筋腫瘍</t>
  </si>
  <si>
    <t>Uterine Epithelioid Leiomyosarcoma (UELMS)_子宮類上皮平滑筋肉腫</t>
  </si>
  <si>
    <t>Uterine Leiomyoma (ULM)_子宮平滑筋腫</t>
  </si>
  <si>
    <t>Uterine Leiomyosarcoma (ULMS)_子宮平滑筋肉腫</t>
  </si>
  <si>
    <t>Uterine Myxoid Leiomyosarcoma (UMLMS)_子宮粘液様平滑筋肉腫</t>
  </si>
  <si>
    <t>Uterine Smooth Muscle Tumor of Uncertain Malignant Potential (USTUMP)_悪性度不明な平滑筋腫瘍</t>
  </si>
  <si>
    <t>子宮頚部</t>
  </si>
  <si>
    <t>Cervical Adenocarcinoma (CEAD)_子宮頸部腺癌</t>
  </si>
  <si>
    <t>Cervical Clear Cell Carcinoma (CECC)_子宮頸部明細胞癌</t>
  </si>
  <si>
    <t>Cervical Endometrioid Carcinoma (CEEN)_子宮頸部子宮内膜癌</t>
  </si>
  <si>
    <t>Cervical Serous Carcinoma (CESE)_子宮頸部漿液性癌</t>
  </si>
  <si>
    <t>Endocervical Adenocarcinoma (ECAD)_子宮頸部腺癌</t>
  </si>
  <si>
    <t>Mesonephric Carcinoma (CEMN)_子宮頸部中腎癌</t>
  </si>
  <si>
    <t>Mucinous Carcinoma (CEMU)_子宮頸部粘液癌</t>
  </si>
  <si>
    <t xml:space="preserve">Gastric Type Mucinous Carcinoma (GCEMU)_子宮頸部胃型粘液癌 </t>
  </si>
  <si>
    <t xml:space="preserve">Intestinal Type Mucinous Carcinoma (ICEMU)_子宮頸部腸型粘液癌 </t>
  </si>
  <si>
    <t>Signet Ring Mucinous Carcinoma (SCEMU)_子宮頸部印環細胞粘液癌</t>
  </si>
  <si>
    <t>Villoglandular Carcinoma (CEVG)_子宮頸部絨毛腺管癌</t>
  </si>
  <si>
    <t>Cervical Adenocarcinoma In Situ (CEAIS)_子宮頸上皮内腺癌</t>
  </si>
  <si>
    <t>Cervical Adenoid Basal Carcinoma (CABC)_子宮頸部腺様基底細胞癌</t>
  </si>
  <si>
    <t>Cervical Adenoid Cystic Carcinoma (CACC)_腺様嚢胞癌 (子宮頸部)</t>
  </si>
  <si>
    <t>Cervical Adenosquamous Carcinoma (CEAS)_子宮頸部腺扁平上皮癌</t>
  </si>
  <si>
    <t>Cervical Leiomyosarcoma (CELI)_子宮頸部平滑筋肉腫</t>
  </si>
  <si>
    <t>Cervical Neuroendocrine Tumor (CENE)_子宮頸部神経内分泌腫瘍</t>
  </si>
  <si>
    <t>Cervical Rhabdomyosarcoma (CERMS)_子宮頸部横紋筋肉腫</t>
  </si>
  <si>
    <t>Cervical Squamous Cell Carcinoma (CESC)_子宮頸部扁平上皮癌</t>
  </si>
  <si>
    <t>Glassy Cell Carcinoma of the Cervix (CEGCC)_子宮頸部すりガラス細胞癌</t>
  </si>
  <si>
    <t>Mixed Cervical Carcinoma (MCCE)_混合子宮頸癌</t>
  </si>
  <si>
    <t>Small Cell Carcinoma of the Cervix (SCCE)_子宮頸部小細胞癌</t>
  </si>
  <si>
    <t>Villoglandular Adenocarcinoma of the Cervix (VGCE)_子宮頸部絨毛腺管状腺癌</t>
  </si>
  <si>
    <t>Germ Cell Tumor of the Vulva (VGCT)_外陰部胚細胞腫瘍</t>
  </si>
  <si>
    <t>Dysgerminoma (VDYS)_外陰部未分化胚細胞腫</t>
  </si>
  <si>
    <t>Immature Teratoma (VIMT)_外陰部未熟奇形腫</t>
  </si>
  <si>
    <t>Mature Teratoma (VMT)_外陰部成熟奇形腫</t>
  </si>
  <si>
    <t>Mixed Germ Cell Tumor (VMGCT)_外陰部混合性胚細胞腫瘍</t>
  </si>
  <si>
    <t>Polyembryoma (VPE)_外陰部多胚腫</t>
  </si>
  <si>
    <t>Yolk Sac Tumor (VYST)_外陰部卵黄嚢腫瘍</t>
  </si>
  <si>
    <t>Mucinous Adenocarcinoma of the Vulva/Vagina (VMA)_外陰部/膣粘液腺癌</t>
  </si>
  <si>
    <t>Mucosal Melanoma of the Vulva/Vagina (VMM)_外陰部/膣粘膜黒色腫</t>
  </si>
  <si>
    <t>Poorly Differentiated Vaginal Carcinoma (VPDC)_低分化膣癌</t>
  </si>
  <si>
    <t>Squamous Cell Carcinoma of the Vulva/Vagina (VSC)_外陰部/膣扁平上皮癌</t>
  </si>
  <si>
    <t>Vaginal Adenocarcinoma (VA)_膣腺癌</t>
  </si>
  <si>
    <t>Prostate Adenocarcinoma (PRAD)_前立腺腺癌</t>
  </si>
  <si>
    <t>Prostate Neuroendocrine Carcinoma (PRNE)_前立腺神経内分泌腫瘍</t>
  </si>
  <si>
    <t>Prostate Small Cell Carcinoma (PRSCC)_前立腺小細胞癌</t>
  </si>
  <si>
    <t>Prostate Squamous Cell Carcinoma (PRSC)_前立腺扁平上皮癌</t>
  </si>
  <si>
    <t>Non-Seminomatous Germ Cell Tumor (NSGCT)_非セミノーマ胚細胞腫瘍</t>
  </si>
  <si>
    <t>Germ Cell Tumor with Somatic-Type Malignancy (GCTSTM)_体細胞系の悪性成分を伴う胚細胞性腫瘍</t>
  </si>
  <si>
    <t>Teratoma (TT)_精巣奇形腫</t>
  </si>
  <si>
    <t>Seminoma (SEM)_精上皮腫</t>
  </si>
  <si>
    <t>Sex Cord Stromal Tumor (TSCST)_性索間質腫瘍</t>
  </si>
  <si>
    <t>Testicular Lymphoma (TLYM)_精巣リンパ腫</t>
  </si>
  <si>
    <t>Testicular Mesothelioma (TMESO)_精巣中皮腫</t>
  </si>
  <si>
    <t>陰茎</t>
  </si>
  <si>
    <t>Penile Squamous Cell Carcinoma (PSCC)_陰茎扁平上皮癌</t>
  </si>
  <si>
    <t>Basaloid Penile Squamous Cell Carcinoma (BPSCC)_陰茎基底細胞様扁平上皮癌</t>
  </si>
  <si>
    <t>Verrucous Penile Squamous Cell Carcinoma (VPSCC)_陰茎疣状扁平上皮癌</t>
  </si>
  <si>
    <t>Warty Penile Squamous Cell Carcinoma (WPSCC)_陰茎疣状扁平上皮癌</t>
  </si>
  <si>
    <t>Aggressive Digital Papillary Adenocarcinoma (ADPA)_侵襲性指趾乳頭状腺がん</t>
  </si>
  <si>
    <t>Atypical Fibroxanthoma (AFX)_異型性線維黄色腫</t>
  </si>
  <si>
    <t>Atypical Nevus (AN)_異型性母斑</t>
  </si>
  <si>
    <t>Basal Cell Carcinoma (BCC)_基底細胞癌</t>
  </si>
  <si>
    <t>Cutaneous Squamous Cell Carcinoma (CSCC)_有棘細胞癌</t>
  </si>
  <si>
    <t>Dermatofibroma (DF)_皮膚線維腫</t>
  </si>
  <si>
    <t>Dermatofibrosarcoma Protuberans (DFSP)_隆起性皮膚線維肉腫</t>
  </si>
  <si>
    <t>Desmoplastic Trichoepithelioma (DTE)_線維硬化性毛包上皮腫瘍</t>
  </si>
  <si>
    <t>Endocrine Mucin Producing Sweat Gland Carcinoma (EMPSGC)_内分泌性粘液産生性汗腺癌</t>
  </si>
  <si>
    <t>Extramammary Paget Disease (EMPD)_乳房外パジェット病</t>
  </si>
  <si>
    <t>Melanoma (MEL)_悪性黒色腫</t>
  </si>
  <si>
    <t>Acral Melanoma (ACRM)_先端黒色腫</t>
  </si>
  <si>
    <t>Congenital Nevus (SKCN)_先天性母斑</t>
  </si>
  <si>
    <t>Cutaneous Melanoma (SKCM)_皮膚黒色腫</t>
  </si>
  <si>
    <t>Desmoplastic Melanoma (DESM)_線維形成性黒色腫</t>
  </si>
  <si>
    <t>Lentigo Maligna Melanoma (SKLMM)_悪性黒子黒色腫</t>
  </si>
  <si>
    <t>Melanoma of Unknown Primary (MUP)_原発不明の黒色腫</t>
  </si>
  <si>
    <t>Spitzoid Melanoma (SPZM)_Spitz 母斑様黒色腫</t>
  </si>
  <si>
    <t>Merkel Cell Carcinoma (MCC)_メルケル細胞癌</t>
  </si>
  <si>
    <t>Microcystic Adnexal Carcinoma (MAC)_微小嚢胞性付属器癌</t>
  </si>
  <si>
    <t>Porocarcinoma/Spiroadenocarcinoma (POCA)_汗孔癌/らせん腺癌</t>
  </si>
  <si>
    <t>Poroma/Acrospiroma (PORO)_汗孔腫/先端汗腺腫</t>
  </si>
  <si>
    <t>Porphyria Cutania Tarda (PCT)_晩発性皮膚ポルフィリン症</t>
  </si>
  <si>
    <t>Proliferating Pilar Cystic Tumor (PPCT)_増殖性外毛根鞘嚢腫</t>
  </si>
  <si>
    <t>Sebaceous Carcinoma (SEBA)_皮脂腺癌</t>
  </si>
  <si>
    <t>Skin Adnexal Carcinoma (SKAC)_皮膚付属器癌</t>
  </si>
  <si>
    <t>Spiroma/Spiradenoma (SPIR)_汗腺腫瘍/らせん腺種</t>
  </si>
  <si>
    <t>Sweat Gland Adenocarcinoma (SGAD)_汗腺腺癌</t>
  </si>
  <si>
    <t>Sweat Gland Carcinoma/Apocrine Eccrine Carcinoma (AECA)_汗腺癌/アポクリン・エクリン癌</t>
  </si>
  <si>
    <t>Aggressive Angiomyxoma (AA)_侵襲性血管粘液腫</t>
  </si>
  <si>
    <t>Alveolar Soft Part Sarcoma (ASPS)_胞巣状軟部肉腫</t>
  </si>
  <si>
    <t>Angiomatoid Fibrous Histiocytoma (AFH)_類血管腫型線維性組織球腫</t>
  </si>
  <si>
    <t>Angiosarcoma (ANGS)_血管肉腫</t>
  </si>
  <si>
    <t>Atypical Lipomatous Tumor (ALT)_異型脂肪腫様腫瘍</t>
  </si>
  <si>
    <t>Clear Cell Sarcoma (CCS)_明細胞肉腫</t>
  </si>
  <si>
    <t>Dendritic Cell Sarcoma (DCS)_樹状細胞肉腫</t>
  </si>
  <si>
    <t>Histiocytic Dendritic Cell Sarcoma (HDCS)_組織球性樹状細胞肉腫</t>
  </si>
  <si>
    <t>Desmoid/Aggressive Fibromatosis (DES)_デスモイド/侵襲性線維腫症</t>
  </si>
  <si>
    <t>Desmoplastic Small-Round-Cell Tumor (DSRCT)_線維形成性小円形細胞腫瘍</t>
  </si>
  <si>
    <t>Epithelioid Hemangioendothelioma (EHAE)_類上皮血管内皮腫</t>
  </si>
  <si>
    <t>Epithelioid Sarcoma (EPIS)_類上皮肉腫</t>
  </si>
  <si>
    <t>Proximal-Type Epithelioid Sarcoma (PTES)_近位型類上皮肉腫</t>
  </si>
  <si>
    <t>Ewing Sarcoma of Soft Tissue (ESST)_骨外性ユーイング肉腫</t>
  </si>
  <si>
    <t>Fibrosarcoma (FIBS)_線維肉腫</t>
  </si>
  <si>
    <t>Sclerosing Epithelioid Fibrosarcoma (SEF)_硬化性類上皮線維肉腫</t>
  </si>
  <si>
    <t>Gastrointestinal Stromal Tumor (GIST)_消化管間質腫瘍</t>
  </si>
  <si>
    <t>Glomangiosarcoma (GS)_悪性グロムス腫瘍</t>
  </si>
  <si>
    <t>Hemangioma (HEMA)_血管腫</t>
  </si>
  <si>
    <t>Infantile Fibrosarcoma (IFS)_乳児型線維肉腫</t>
  </si>
  <si>
    <t>Inflammatory Myofibroblastic Tumor (IMT)_炎症性筋線維芽細胞腫瘍</t>
  </si>
  <si>
    <t>Intimal Sarcoma (INTS)_血管内膜肉腫</t>
  </si>
  <si>
    <t>Leiomyoma (LM)_平滑筋腫</t>
  </si>
  <si>
    <t>Leiomyosarcoma (LMS)_平滑筋肉腫</t>
  </si>
  <si>
    <t>Liposarcoma (LIPO)_脂肪肉腫</t>
  </si>
  <si>
    <t>Dedifferentiated Liposarcoma (DDLS)_脱分化型脂肪肉腫</t>
  </si>
  <si>
    <t>Myxoid/Round-Cell Liposarcoma (MRLS)_粘液型/円形細胞型脂肪肉腫</t>
  </si>
  <si>
    <t>Pleomorphic Liposarcoma (PLLS)_多形型脂肪肉腫</t>
  </si>
  <si>
    <t>Well-Differentiated Liposarcoma (WDLS)_高分化型脂肪肉腫</t>
  </si>
  <si>
    <t>Low-Grade Fibromyxoid Sarcoma (LGFMS)_低悪性度線維粘液肉腫</t>
  </si>
  <si>
    <t>Malignant Glomus Tumor (MGST)_悪性グロムス腫瘍</t>
  </si>
  <si>
    <t>Myofibroma (MF)_筋線維腫</t>
  </si>
  <si>
    <t>Myofibromatosis (IMS)_筋線維腫症</t>
  </si>
  <si>
    <t>Myopericytoma (MPC)_筋周皮腫</t>
  </si>
  <si>
    <t>Myxofibrosarcoma (MFS)_粘液線維肉腫</t>
  </si>
  <si>
    <t>Myxoma (MYXO)_粘液腫</t>
  </si>
  <si>
    <t>Ossifying Fibromyxoid Tumor (OFMT)_骨化性線維粘液性腫瘍</t>
  </si>
  <si>
    <t>Paraganglioma (PGNG)_傍神経節腫 パラガングリオーマ</t>
  </si>
  <si>
    <t>Perivascular Epithelioid Cell Tumor (PECOMA)_血管周囲性類上皮細胞性腫瘍</t>
  </si>
  <si>
    <t>Pseudomyogenic Hemangioendothelioma (PMHE)_偽筋原性血管内皮腫</t>
  </si>
  <si>
    <t>Radiation-Associated Sarcoma (RAS)_放射線誘発肉腫</t>
  </si>
  <si>
    <t>Rhabdomyosarcoma (RMS)_横紋筋肉腫</t>
  </si>
  <si>
    <t>Alveolar Rhabdomyosarcoma (ARMS)_胞巣型横紋筋肉腫</t>
  </si>
  <si>
    <t>Embryonal Rhabdomyosarcoma (ERMS)_胎児型横紋筋肉腫</t>
  </si>
  <si>
    <t>Pleomorphic Rhabdomyosarcoma (PLRMS)_多形型横紋筋肉腫</t>
  </si>
  <si>
    <t>Spindle Cell Rhabdomyosarcoma (SCRMS)_紡錘形細胞型横紋筋肉腫</t>
  </si>
  <si>
    <t>Spindle Cell/Sclerosing Rhabdomyosarcoma (SCSRMS)_紡錘形細胞型/硬化型横紋筋肉腫</t>
  </si>
  <si>
    <t>Round Cell Sarcoma, NOS (RCSNOS)_円形細胞肉腫、特定不能</t>
  </si>
  <si>
    <t>Sarcoma, NOS (SARCNOS)_肉腫、特定不能</t>
  </si>
  <si>
    <t>Soft Tissue Myoepithelial Carcinoma (STMYEC)_軟部の筋上皮癌</t>
  </si>
  <si>
    <t>Solitary Fibrous Tumor/Hemangiopericytoma (SFT)_孤立性線維性腫瘍/血管周皮種</t>
  </si>
  <si>
    <t>Synovial Sarcoma (SYNS)_滑膜肉腫</t>
  </si>
  <si>
    <t>Tenosynovial Giant Cell Tumor Diffuse Type (TGCT)_びまん型腱滑膜巨細胞腫</t>
  </si>
  <si>
    <t>Undifferentiated Pleomorphic Sarcoma/Malignant Fibrous Histiocytoma/High-Grade Spindle Cell Sarcoma (MFH)_未分化多形肉腫/悪性線維性組織球腫/高悪性度紡錐細胞肉腫</t>
  </si>
  <si>
    <t>Adamantinoma (ADMA)_アダマンチノーマ</t>
  </si>
  <si>
    <t>Chondroblastoma (CHBL)_軟骨芽細胞腫</t>
  </si>
  <si>
    <t>Chondrosarcoma (CHS)_軟骨肉腫</t>
  </si>
  <si>
    <t>Dedifferentiated Chondrosarcoma (DDCHS)_脱分化型軟骨肉腫</t>
  </si>
  <si>
    <t>Extraskeletal Myxoid Chondrosarcoma (EMCHS)_骨外性粘液性軟骨肉腫</t>
  </si>
  <si>
    <t>Mesenchymal Chondrosarcoma (MCHS)_間葉型軟骨肉腫</t>
  </si>
  <si>
    <t>Myxoid Chondrosarcoma (MYCHS)_粘液性軟骨肉腫</t>
  </si>
  <si>
    <t>Chordoma (CHDM)_脊索腫</t>
  </si>
  <si>
    <t>Conventional Type Chordoma (CCHDM)_通常型脊索腫</t>
  </si>
  <si>
    <t>Dedifferentiated Chordoma (DDCHDM)_脱分化型脊索腫</t>
  </si>
  <si>
    <t>Ewing Sarcoma (ES)_ユーイング肉腫</t>
  </si>
  <si>
    <t>Giant Cell Tumor of Bone (GCTB)_骨巨細胞腫</t>
  </si>
  <si>
    <t>Osteosarcoma (OS)_骨肉腫</t>
  </si>
  <si>
    <t>Chondroblastic Osteosarcoma (CHOS)_軟骨芽細胞型骨肉腫</t>
  </si>
  <si>
    <t>Fibroblastic Osteosarcoma (FIOS)_線維芽細胞型骨肉腫</t>
  </si>
  <si>
    <t>High-Grade Surface Osteosarcoma (HGSOS)_高悪性度表在性骨肉腫</t>
  </si>
  <si>
    <t>Low-Grade Central Osteosarcoma (LGCOS)_低悪性度中心性骨肉腫</t>
  </si>
  <si>
    <t>Osteoblastic Osteosarcoma (OSOS)_骨芽細胞型骨肉腫</t>
  </si>
  <si>
    <t>Parosteal Osteosarcoma (PAOS)_傍骨性骨肉腫</t>
  </si>
  <si>
    <t>Periosteal Osteosarcoma (PEOS)_骨膜性骨肉腫</t>
  </si>
  <si>
    <t>Secondary Osteosarcoma (SECOS)_二次性骨肉腫</t>
  </si>
  <si>
    <t>Small Cell Osteosarcoma (SCOS)_小細胞型骨肉腫</t>
  </si>
  <si>
    <t>Telangiectatic Osteosarcoma (TEOS)_血管拡張型骨肉腫</t>
  </si>
  <si>
    <t>Lymphoid Atypical (LATL)_異型リンパ球</t>
  </si>
  <si>
    <t>Lymphoid Benign (LBGN)_良性リンパ球</t>
  </si>
  <si>
    <t>Lymphoid Neoplasm (LNM)_リンパ腫</t>
  </si>
  <si>
    <t>B-Lymphoblastic Leukemia/Lymphoma (BLL)_Bリンパ芽球性白血病/リンパ腫</t>
  </si>
  <si>
    <t>B-Lymphoblastic Leukemia/Lymphoma with Recurrent Genetic Abnormalities (BLLRGA)_特定の遺伝子異常を有するBリンパ芽球性白血病/リンパ腫</t>
  </si>
  <si>
    <t>B-Lymphoblastic Leukemia/Lymphoma with Hyperdiploidy (BLLHYPER)_高二倍性Bリンパ芽球性白血病/リンパ腫</t>
  </si>
  <si>
    <t>B-Lymphoblastic Leukemia/Lymphoma with Hypodiploidy (BLLHYPO)_低二倍性Bリンパ芽球性白血病/リンパ腫</t>
  </si>
  <si>
    <t>B-Lymphoblastic Leukemia/Lymphoma with iAMP21 (BLLIAMP21)_iAMP21を伴うBリンパ芽球性白血病/リンパ腫</t>
  </si>
  <si>
    <t>B-Lymphoblastic Leukemia/Lymphoma with t(12;21)(p13.2;q22.1); ETV6-RUNX1 (BLLETV6RUNX1)_t(12;21)(p13.2;q22.1); ETV6-RUNX1を伴うBリンパ芽球性白血病/リンパ腫</t>
  </si>
  <si>
    <t>B-Lymphoblastic Leukemia/Lymphoma with t(1;19)(q23;p13.3);TCF3-PBX1 (BLLTCF3PBX1)_t(1;19)(q23;p13.3);TCF3-PBX1を伴うBリンパ芽球性白血病/リンパ腫</t>
  </si>
  <si>
    <t>B-Lymphoblastic Leukemia/Lymphoma with t(5;14)(q31.1;q32.3) IL3-IGH (BLLIL3IGH)_t(5;14)(q31.1;q32.3) IL3-IGHを伴うBリンパ芽球性白血病/リンパ腫</t>
  </si>
  <si>
    <t>B-Lymphoblastic Leukemia/Lymphoma with t(9;22)(q34.1;q11.2);BCR-ABL1 (BLLBCRABL1)_t(9;22)(q34.1;q11.2);BCR-ABL1を伴うBリンパ芽球性白血病/リンパ腫</t>
  </si>
  <si>
    <t>B-Lymphoblastic Leukemia/Lymphoma with t(v;11q23.3);KMT2A Rearranged (BLLKMT2A)_t(v;11q23.3);KMT2A再構成を伴うBリンパ芽球性白血病/リンパ腫</t>
  </si>
  <si>
    <t>B-Lymphoblastic Leukemia/Lymphoma, BCR-ABL1 Like (BLLBCRABL1L)_Bリンパ芽球性白血病/BCR-ABL1に類似したリンパ腫</t>
  </si>
  <si>
    <t>Hodgkin Lymphoma (HL)_ホジキンリンパ腫</t>
  </si>
  <si>
    <t>Classical Hodgkin Lymphoma (CHL)_古典的ホジキンリンパ腫</t>
  </si>
  <si>
    <t>Lymphocyte-Depleted Classical Hodgkin Lymphoma (LDCHL)_リンパ球減少型古典的ホジキンリンパ腫</t>
  </si>
  <si>
    <t>Lymphocyte-Rich Classical Hodgkin Lymphoma (LRCHL)_リンパ球豊富型古典的ホジキンリンパ腫</t>
  </si>
  <si>
    <t>Mixed Cellularity Classical Hodgkin Lymphoma (MCCHL)_混合細胞型古典的ホジキンリンパ腫</t>
  </si>
  <si>
    <t>Nodular Sclerosis Classical Hodgkin Lymphoma (NSCHL)_結節硬化型古典的ホジキンリンパ腫</t>
  </si>
  <si>
    <t>Nodular Lymphocyte-Predominant Hodgkin Lymphoma (NLPHL)_結節性リンパ球優位型ホジキンリンパ腫</t>
  </si>
  <si>
    <t>Non-Hodgkin Lymphoma (NHL)_非ホジキンリンパ腫</t>
  </si>
  <si>
    <t>Mature B-Cell Neoplasms (MBN)_成熟B細胞腫瘍</t>
  </si>
  <si>
    <t>ALK Positive Large B-Cell Lymphoma (ALKLBCL)_ALK陽性大細胞型B細胞リンパ腫</t>
  </si>
  <si>
    <t>Alpha Heavy-Chain Disease (AHCD)_α重鎖病</t>
  </si>
  <si>
    <t>B-Cell Lymphoma, Unclassifiable, with Features Intermediate between DLBCL and Classical Hodgkin lymphoma (BCLU)_B細胞リンパ腫，分類不能型，びまん性大細胞型B細胞リンパ腫と古典的ホジキンリンパ腫との中間型</t>
  </si>
  <si>
    <t>B-Cell Prolymphocytic Leukemia (BPLL)_B細胞前リンパ球性白血病</t>
  </si>
  <si>
    <t>Burkitt Lymphoma (BL)_バーキットリンパ腫</t>
  </si>
  <si>
    <t>Burkitt-Like Lymphoma with 11q Aberration (BLL11Q)_11q異常を伴うバーキット様リンパ腫</t>
  </si>
  <si>
    <t>Chronic Lymphocytic Leukemia/Small Lymphocytic Lymphoma (CLLSLL)_慢性リンパ性白血病/ 小リンパ球性リンパ腫</t>
  </si>
  <si>
    <t>DLBCL Associated with Chronic Inflammation (DLBCLCI)_慢性炎症に伴うびまん性大細胞型B細胞リンパ腫</t>
  </si>
  <si>
    <t>Diffuse Large B-Cell Lymphoma, NOS (DLBCLNOS)_びまん性大細胞型B細胞リンパ腫、非特異型</t>
  </si>
  <si>
    <t>Activated B-cell Type (ABC)_活性化B細胞</t>
  </si>
  <si>
    <t>Germinal Center B-Cell Type (GCB)_胚中心B細胞</t>
  </si>
  <si>
    <t>EBV Positive DLBCL, NOS (EBVDLBCLNOS)_EBV陽性びまん性大細胞型B細胞リンパ腫、非特異型</t>
  </si>
  <si>
    <t>EBV Positive Mucocutaneous Ulcer (EBVMCU)_EBV 陽性粘膜皮膚潰瘍</t>
  </si>
  <si>
    <t>Extraosseous Plasmacytoma (EP)_髄外性形質細胞腫</t>
  </si>
  <si>
    <t>Follicular Lymphoma (FL)_濾胞性リンパ腫</t>
  </si>
  <si>
    <t>Duodenal-Type Follicular Lymphoma (DFL)_十二指腸濾胞性リンパ腫</t>
  </si>
  <si>
    <t>In Situ Follicular Neoplasia (ISFN)_原位置濾胞性腫瘍</t>
  </si>
  <si>
    <t>Gamma Heavy-Chain Disease (GHCD)_γ重鎖病</t>
  </si>
  <si>
    <t>HHV8 Positive DLBCL, NOS (HHV8DLBCL)_HHV8陽性びまん性大細胞型B細胞リンパ腫、非特異型</t>
  </si>
  <si>
    <t>Hairy Cell Leukemia (HCL)_有毛細胞白血病</t>
  </si>
  <si>
    <t>High-Grade B-Cell Lymphoma, NOS (HGBCL)_高悪性度B細胞リンパ腫、非特異型</t>
  </si>
  <si>
    <t>High-Grade B-Cell Lymphoma, with MYC and BCL2 and/or BCL6 Rearrangements (HGBCLMYCBCL2)_MYCおよびBCL2とBCL6の両方か一方の再構成伴う高悪性度B細胞リンパ腫</t>
  </si>
  <si>
    <t>Intravascular Large B-Cell Lymphoma (IVBCL)_血管内大細胞型B細胞リンパ腫</t>
  </si>
  <si>
    <t>Large B-Cell Lymphoma with IRF4 Rearrangement (LBLIRF4)_IRF4再構成を伴う大細胞型B細胞リンパ腫</t>
  </si>
  <si>
    <t>Lymphomatoid Granulomatosis (LYG)_リンパ腫様肉芽腫症</t>
  </si>
  <si>
    <t>Lymphoplasmacytic Lymphoma (LPL)_リンパ形質細胞性リンパ腫</t>
  </si>
  <si>
    <t>Waldenstrom Macroglobulinemia (WM)_ワルデンシュトレームマクログロブリン血症</t>
  </si>
  <si>
    <t>Mantle Cell Lymphoma (MCL)_マントル細胞リンパ腫</t>
  </si>
  <si>
    <t>In Situ Mantle Cell Neoplasia (ISMCL)_原位置マントル細胞腫瘍</t>
  </si>
  <si>
    <t>Marginal Zone Lymphoma (MZL)_辺縁帯リンパ腫</t>
  </si>
  <si>
    <t>Extranodal Marginal Zone Lymphoma of Mucosa-Associated Lymphoid Tissue (MALT lymphoma) (EMALT)_粘膜関連リンパ組織型節外性辺縁帯リンパ腫 (MALT リンパ腫)</t>
  </si>
  <si>
    <t>Nodal Marginal Zone Lymphoma (NMZL)_節性辺縁帯リンパ腫</t>
  </si>
  <si>
    <t>Splenic Marginal Zone Lymphoma (SMZL)_脾辺縁帯リンパ腫</t>
  </si>
  <si>
    <t>Monoclonal B-Cell Lymphocytosis (MCBCL)_単クローン性Bリンパ球増加症</t>
  </si>
  <si>
    <t>Monoclonal Gammopathy of Undetermined Significance (MGUS)_意義不明の単クローン性ガンマグロブリン血症</t>
  </si>
  <si>
    <t>IgA (MGUSIGA)_免疫グロブリンA</t>
  </si>
  <si>
    <t>IgG (MGUSIGG)_免疫グロブリンG</t>
  </si>
  <si>
    <t>IgM (MGUSIGM)_免疫グロブリンM</t>
  </si>
  <si>
    <t>Monoclonal Immunoglobulin Deposition Diseases (MIDD)_単クローン性免疫グロブリン沈着症</t>
  </si>
  <si>
    <t>Amyloidosis (MIDDA)_アミロイド−シス</t>
  </si>
  <si>
    <t>Monoclonal Immunoglobulin Deposition Diseases, Other (MIDDO)_単クローン性免疫グロブリン沈着症、その他</t>
  </si>
  <si>
    <t>Mu Heavy-Chain Disease (MHCD)_μ重鎖病</t>
  </si>
  <si>
    <t>Pediatric-Type Follicular Lymphoma (PTFL)_小児型濾胞性リンパ腫</t>
  </si>
  <si>
    <t>Plasma Cell Myeloma (PCM)_形質細胞骨髄腫</t>
  </si>
  <si>
    <t>Plasmablastic Lymphoma (PLBL)_形質芽細胞性リンパ腫</t>
  </si>
  <si>
    <t>Primary Cutaneous DLBCL, Leg Type (PCLBCLLT)_皮膚原発びまん性大細胞型B細胞リンパ腫，下肢型</t>
  </si>
  <si>
    <t>Primary Cutaneous Follicle Center Lymphoma (PCFCL)_原発性皮膚濾胞中心リンパ腫</t>
  </si>
  <si>
    <t>Primary DLBCL of the central nervous system (PCNSL)_原発性中枢神経系びまん性大細胞型B細胞リンパ腫</t>
  </si>
  <si>
    <t>Primary Effusion Lymphoma (PEL)_原発性滲出液リンパ腫</t>
  </si>
  <si>
    <t>Primary Mediastinal (Thymic) Large B-Cell Lymphoma (PMBL)_原発性縦隔（胸腺）大細胞型B細胞リンパ腫</t>
  </si>
  <si>
    <t>Solitary Plasmacytoma of Bone (SPB)_骨の孤立性形質細胞腫</t>
  </si>
  <si>
    <t>Splenic B-Cell Lymphoma/Leukemia, Unclassifiable (SBLU)_脾B細胞リンパ腫/白血病、分類不能型</t>
  </si>
  <si>
    <t>Hairy Cell Leukemia-Variant (HCL-V)_有毛細胞白血病亜型</t>
  </si>
  <si>
    <t>Splenic Diffuse Red Pulp Small B-Cell Lymphoma (SDRPL)_びまん性赤脾髄小型B細胞リンパ腫</t>
  </si>
  <si>
    <t>T-Cell/Histiocyte-Rich Large B-Cell Lymphoma (THRLBCL)_T細胞/組織球豊富型大細胞型B細胞リンパ腫</t>
  </si>
  <si>
    <t>Mature T and NK Neoplasms (MTNN)_成熟T細胞およびNK細胞腫瘍</t>
  </si>
  <si>
    <t>Adult T-Cell Leukemia/Lymphoma (ATLL)_成人T細胞白血病/リンパ腫</t>
  </si>
  <si>
    <t>Aggressive NK-Cell Leukemia (ANKL)_急速進行性NK細胞白血病</t>
  </si>
  <si>
    <t>Anaplastic Large Cell Lymphoma (ALCL)_未分化大細胞型リンパ腫</t>
  </si>
  <si>
    <t>Anaplastic Large-Cell Lymphoma ALK Negative (ALCLALKN)_未分化大細胞リンパ腫 ALK陰性型</t>
  </si>
  <si>
    <t>Anaplastic Large-Cell Lymphoma ALK Positive (ALCLALKP)_未分化大細胞リンパ腫 ALK陽性型</t>
  </si>
  <si>
    <t>Breast Implant-Associated Anaplastic Large-Cell Lymphoma (BIALCL)_乳房インプラント関連未分化大細胞リンパ腫</t>
  </si>
  <si>
    <t>Angioimmunoblastic T-Cell Lymphoma (AITL)_血管免疫芽球性T細胞リンパ腫</t>
  </si>
  <si>
    <t>Chronic Lymphoproliferative Disorder of NK Cells (CLPDNK)_慢性NK細胞リンパ増殖異常症</t>
  </si>
  <si>
    <t>Enteropathy-Associated T-Cell Lymphoma (EATL)_腸管症関連T細胞リンパ腫</t>
  </si>
  <si>
    <t>Extranodal NK-/T-Cell Lymphoma, Nasal Type (ENKL)_節外性NK/T細胞リンパ腫、鼻型</t>
  </si>
  <si>
    <t>Follicular T-Cell Lymphoma (FTCL)_濾胞性T細胞リンパ腫</t>
  </si>
  <si>
    <t>Hepatosplenic T-cell Lymphoma (HSTCL)_肝脾T細胞リンパ腫</t>
  </si>
  <si>
    <t>Hydroa Vacciniforme Like Lymphoproliferative Disorder (HVLL)_種痘様水疱症類似リンパ増殖異常症</t>
  </si>
  <si>
    <t>Indolent T-Cell Lymphoproliferative Disorder of the GI Tract (ITLPDGI)_消化管緩慢性T細胞リンパ増殖異常症</t>
  </si>
  <si>
    <t>Monomorphic Epitheliotropic Intestinal T-Cell Lymphoma (MEITL)_単形性上皮向性腸管T細胞リンパ腫</t>
  </si>
  <si>
    <t>Mycosis Fungoides (MYCF)_菌状息肉症</t>
  </si>
  <si>
    <t>Nodal Peripheral T-Cell Lymphoma with TFH Phenotype (NPTLTFH)_濾胞ヘルパーT細胞形質を伴う節性末梢性T細胞リンパ腫</t>
  </si>
  <si>
    <t>Primary Cutaneous Acral CD8 Positive T-Cell Lymphoma (PCATCL)_原発性皮膚先端型CD8陽性T細胞リンパ腫</t>
  </si>
  <si>
    <t>Primary Cutaneous CD30 Positive T-Cell Lymphoproliferative Disorders (PCLPD)_原発性皮膚CD30陽性T細胞リンパ増殖異常症</t>
  </si>
  <si>
    <t>Lymphomatoid Papulosis (LYP)_リンパ腫様丘疹症</t>
  </si>
  <si>
    <t>Primary Cutaneous Anaplastic Large Cell Lymphoma (PCALCL)_原発性皮膚未分化大細胞リンパ腫</t>
  </si>
  <si>
    <t>Primary Cutaneous CD4 Positive Small/Medium T-Cell Lymphoproliferative Disorder (PCSMTPLD)_原発性皮膚CD4陽性小/中T細胞リンパ増殖異常症</t>
  </si>
  <si>
    <t>Primary Cutaneous CD8 Positive Aggressive Epidermotropic Cytotoxic T-Cell Lymphoma (PCAECTCL)_原発性皮膚CD8陽性アグレッシブ表皮向性細胞障害性T細胞リンパ腫</t>
  </si>
  <si>
    <t>Primary Cutaneous Gamma Delta T-Cell Lymphoma (PCGDTCL)_原発性皮膚γδT細胞リンパ腫</t>
  </si>
  <si>
    <t>Sezary Syndrome (SS)_セザリー症候群</t>
  </si>
  <si>
    <t>Subcutaneous Panniculitis-Like T-Cell Lymphoma (SPTCL)_皮下脂肪織炎様T細胞リンパ腫</t>
  </si>
  <si>
    <t>Systemic EBV Positive T-Cell Lymphoma of Childhood (SEBVTLC)_小児全身性EBV陽性T細胞リンパ腫</t>
  </si>
  <si>
    <t>T-Cell Large Granular Lymphocytic Leukemia (TLGL)_T細胞大顆粒リンパ球性白血病</t>
  </si>
  <si>
    <t>T-Cell Prolymphocytic Leukemia (TPLL)_T細胞前リンパ球性白血病</t>
  </si>
  <si>
    <t>Posttransplant Lymphoproliferative Disorders (PTLD)_移植後リンパ増殖性疾患</t>
  </si>
  <si>
    <t>Classical Hodgkin Lymphoma PTLD (CHLPTLD)_古典的ホジキンリンパ腫 PTLD</t>
  </si>
  <si>
    <t>Florid Follicular Hyperplasia PTLD (FHPTLD)_高度濾胞過形成型 PTLD</t>
  </si>
  <si>
    <t>Infectious Mononucleosis PTLD (IMPTLD)_伝染性単核球症 PTLD</t>
  </si>
  <si>
    <t>Monomorphic PTLD (B- and T-/NK-cell types) (MPTLD)_単形性PTLD (B細胞およびT/NK細胞型)</t>
  </si>
  <si>
    <t>Plasmacytic Hyperplasia PTLD (PHPTLD)_形質細胞性過形成型 PTLD</t>
  </si>
  <si>
    <t>Polymorphic PTLD (PPTLD)_多形性 PTLD</t>
  </si>
  <si>
    <t>T-Lymphoblastic Leukemia/Lymphoma (TLL)_T細胞リンパ芽球性白血病/リンパ腫</t>
  </si>
  <si>
    <t>Early T-Cell Precursor Lymphoblastic Leukemia (ETPLL)_初期前駆T細胞リンパ芽球性白血病</t>
  </si>
  <si>
    <t>Natural Killer (NK) Cell Lymphoblastic Leukemia/Lymphoma (NKCLL)_ナチュラルキラー細胞リンパ芽球性白血病/リンパ腫</t>
  </si>
  <si>
    <t>Myeloid Atypical (MATPL)_非定型骨髄性</t>
  </si>
  <si>
    <t>Myeloid Benign (MBGN)_良性骨髄性</t>
  </si>
  <si>
    <t>Myeloid Neoplasm (MNM)_骨髄性腫瘍</t>
  </si>
  <si>
    <t>Acute Leukemias of Ambiguous Lineage (ALAL)_分化系統不明瞭な急性白血病</t>
  </si>
  <si>
    <t>Acute Undifferentiated Leukemia (AUL)_急性未分化型白血病</t>
  </si>
  <si>
    <t>Mixed Phenotype Acute Leukemia with t(9;22)(q34.1;q11.2); BCR-ABL1 (MPALBCRABL1)_t(9;22)(q34.1;q11.2); BCR-ABL1を伴う混合表現型急性白血病</t>
  </si>
  <si>
    <t>Mixed Phenotype Acute Leukemia with t(v;11q23.3); KMT2A Rearranged (MPALKMT2A)_t(v;11q23.3); KMT2A 再構成を伴う混合表現型急性白血病</t>
  </si>
  <si>
    <t>Acute Myeloid Leukemia (AML)_急性骨髄性白血病</t>
  </si>
  <si>
    <t>AML with Myelodysplasia-Related Changes (AMLMRC)_骨髄異形成に関連した変化を伴う急性骨髄性白血病</t>
  </si>
  <si>
    <t>AML with Recurrent Genetic Abnormalities (AMLRGA)_遺伝子変異を伴う急性骨髄性白血病</t>
  </si>
  <si>
    <t>AML (megakaryoblastic) with t(1;22)(p13.3;q13.3);RBM15-MKL1 (AMLRBM15MKL1)_t(1;22)(p13.3;q13.3);RBM15-MKL1を伴う急性骨髄性白血病（巨核芽球）</t>
  </si>
  <si>
    <t>AML with BCR-ABL1 (AMLBCRABL1)_BCR-ABL1を伴う急性骨髄性白血病</t>
  </si>
  <si>
    <t>AML with Biallelic Mutations of CEBPA (AMLCEBPA)_CEBPA両アレル変異を伴う急性骨髄性白血病</t>
  </si>
  <si>
    <t>AML with Mutated NPM1 (AMLNPM1)_NPM1変異を伴う急性骨髄性白血病</t>
  </si>
  <si>
    <t>AML with Mutated RUNX1 (AMLRUNX1)_RUNX1変異を伴う急性骨髄性白血病</t>
  </si>
  <si>
    <t>AML with Variant RARA translocation (AMLRARA)_RARA転座バリアントを伴う急性骨髄性白血病</t>
  </si>
  <si>
    <t>AML with inv(16)(p13.1q22) or t(16;16)(p13.1;q22);CBFB-MYH11 (AMLCBFBMYH11)_inv(16)(p13.1q22) or t(16;16)(p13.1;q22);CBFB-MYH11を伴う急性骨髄性白血病</t>
  </si>
  <si>
    <t>AML with inv(3)(q21.3q26.2) or t(3;3)(q21.3;q26.2); GATA2, MECOM (AMLGATA2MECOM)_inv(3)(q21.3q26.2) or t(3;3)(q21.3;q26.2); GATA2, MECOMを伴う急性骨髄性白血病</t>
  </si>
  <si>
    <t>AML with t(6;9)(p23;q34.1);DEK-NUP214 (AMLDEKNUP214)_t(6;9)(p23;q34.1);DEK-NUP214を伴う急性骨髄性白血病</t>
  </si>
  <si>
    <t>AML with t(8;21)(q22;q22.1);RUNX1-RUNX1T1 (AMLRUNX1RUNX1T1)_t(8;21)(q22;q22.1);RUNX1-RUNX1T1を伴う急性骨髄性白血病</t>
  </si>
  <si>
    <t>AML with t(9;11)(p21.3;q23.3);MLLT3-KMT2A (AMLMLLT3KMT2A)_t(9;11)(p21.3;q23.3);MLLT3-KMT2Aを伴う急性骨髄性白血病</t>
  </si>
  <si>
    <t>APL with PML-RARA (APLPMLRARA)_PML-RARAを伴う急性前骨髄球性白血病</t>
  </si>
  <si>
    <t>AML with Maturation (AM)_分化型急性骨髄性白血病</t>
  </si>
  <si>
    <t>AML with Minimal Differentiation (AMLMD)_最未分化型急性骨髄性白血病</t>
  </si>
  <si>
    <t>AML without Maturation (AWM)_未分化型急性骨髄性白血病</t>
  </si>
  <si>
    <t>Acute Basophilic Leukemia (ABL)_急性好塩基球性白血病</t>
  </si>
  <si>
    <t>Acute Megakaryoblastic Leukemia (AMKL)_急性巨核芽球性白血病</t>
  </si>
  <si>
    <t>Acute Monoblastic/Monocytic Leukemia (AMOL)_急性単芽球性/単球性白血病</t>
  </si>
  <si>
    <t>Acute Myelomonocytic Leukemia (AMML)_急性骨髄単球性白血病</t>
  </si>
  <si>
    <t>Acute Panmyelosis with Myelofibrosis (APMF)_骨髄線維症を伴う急性汎骨髄症</t>
  </si>
  <si>
    <t>Pure Erythroid Leukemia (PERL)_純粋赤白血病</t>
  </si>
  <si>
    <t>Myeloid Proliferations Related to Down Syndrome (MPRDS)_ダウン症候群関連骨髄増殖症</t>
  </si>
  <si>
    <t>Myeloid Leukemia Associated with Down Syndrome (MLADS)_ダウン症候群関連骨髄性白血病</t>
  </si>
  <si>
    <t>Transient Abnormal Myelopoiesis (TAM)_一過性骨髄造血異常症</t>
  </si>
  <si>
    <t>Myeloid Sarcoma (MS)_骨髄性肉腫</t>
  </si>
  <si>
    <t>Therapy-Related Myeloid Neoplasms (TMN)_治療関連骨髄性腫瘍</t>
  </si>
  <si>
    <t>Therapy-Related Acute Myeloid Leukemia (TAML)_治療関連急性骨髄性白血病</t>
  </si>
  <si>
    <t>Therapy-Related Myelodysplastic Syndrome (TMDS)_治療関連骨髄異形成症候群</t>
  </si>
  <si>
    <t>Blastic Plasmacytoid Dendritic Cell Neoplasm (BPDCN)_芽球形質細胞様樹状細胞腫瘍</t>
  </si>
  <si>
    <t>Histiocytic and Dendritic Cell Neoplasms (HDCN)_組織球および樹状細胞腫瘍</t>
  </si>
  <si>
    <t>Disseminated Juvenile Xanthogranuloma (JXG)_播種性若年性黄色肉芽腫</t>
  </si>
  <si>
    <t>Erdheim-Chester Disease (ECD)_エルドハイム・チェスター病</t>
  </si>
  <si>
    <t>Fibroblastic Reticular Cell Tumor (FRCT)_線維芽網状細胞腫瘍</t>
  </si>
  <si>
    <t>Follicular Dendritic Cell Sarcoma (FDCS)_濾胞樹状細胞肉腫</t>
  </si>
  <si>
    <t>Histiocytic Sarcoma (HS)_組織球肉腫</t>
  </si>
  <si>
    <t>Indeterminate Dendritic Cell Tumor (IDCT)_不確定型樹状細胞腫瘍</t>
  </si>
  <si>
    <t>Interdigitating Dendritic Cell Sarcoma (IDCS)_指状嵌入細胞肉腫</t>
  </si>
  <si>
    <t>Langerhans Cell Histiocytosis (LCH)_ランゲルハンス細胞組織球症</t>
  </si>
  <si>
    <t>Langerhans Cell Sarcoma (LCS)_ランゲルハンス細胞肉腫</t>
  </si>
  <si>
    <t>Rosai-Dorfman Disease (RDD)_ロサイ・ドルフマン病</t>
  </si>
  <si>
    <t>Mastocytosis (MCD)_肥満細胞腫</t>
  </si>
  <si>
    <t>Cutaneous Mastocytosis (CMCD)_皮膚肥満細胞腫</t>
  </si>
  <si>
    <t>Mast Cell Sarcoma (MCSL)_肥満細胞肉腫</t>
  </si>
  <si>
    <t>Systemic Mastocytosis (SM)_全身性肥満細胞症</t>
  </si>
  <si>
    <t>Aggressive Systemic Mastocytosis (ASM)_侵襲性全身性肥満細胞症</t>
  </si>
  <si>
    <t>Indolent Systemic Mastocytosis (ISM)_無症候性全身性肥満細胞症</t>
  </si>
  <si>
    <t>Mast Cell Leukemia (SMMCL)_肥満細胞白血病</t>
  </si>
  <si>
    <t>Smoldering Systemic Mastocytosis (SSM)_くすぶり型全身性肥満細胞症</t>
  </si>
  <si>
    <t>Systemic Mastocytosis with an Associated Hematological Neoplasm (SMAHN)_血液腫瘍関連の全身性肥満細胞症</t>
  </si>
  <si>
    <t>Myelodysplastic Syndromes (MDS)_骨髄異形成症候群</t>
  </si>
  <si>
    <t>MDS with Excess Blasts (MDSEB)_過剰芽球を伴う骨髄異形成症候群</t>
  </si>
  <si>
    <t>MDS with excess blasts-1 (MDSEB1)_芽球増加を伴う骨髄異形成症候群-1</t>
  </si>
  <si>
    <t>MDS with excess blasts-2 (MDSEB2)_芽球増加を伴う骨髄異形成症候群-2</t>
  </si>
  <si>
    <t>MDS with Isolated Del(5q) (MDSID5Q)_染色体異常del(5q)を伴う骨髄異形成症候群</t>
  </si>
  <si>
    <t>MDS with Multilineage Dysplasia (MDSMD)_多血球系異形成を伴う骨髄異形成症候群</t>
  </si>
  <si>
    <t>MDS with Ring Sideroblasts (MDSRS)_環状鉄芽球を伴う骨髄異形成症候群</t>
  </si>
  <si>
    <t>MDS with Ring Sideroblasts and Multilineage Dysplasia (MDSRSMD)_環状鉄芽球と多血球系異形成を伴う骨髄異形成症候群</t>
  </si>
  <si>
    <t>MDS with Ring Sideroblasts and Single Lineage Dysplasia (MDSRSSLD)_環状鉄芽球と単一血球系統の異形成を伴う骨髄異形成症候群</t>
  </si>
  <si>
    <t>MDS with Single Lineage Dysplasia (MDSSLD)_単一血球系統の異形成を伴う骨髄異形成症候群</t>
  </si>
  <si>
    <t>Refractory Cytopenia of Childhood (RCYC)_小児不応性血球減少症</t>
  </si>
  <si>
    <t>Myelodysplastic/Myeloproliferative Neoplasms (MDS/MPN)_骨髄異形成/骨髄増殖性腫瘍</t>
  </si>
  <si>
    <t>Atypical Chronic Myeloid Leukemia, BCR-ABL1- (ACML)_非定型慢性骨髄性白血病、BCR-ABL陰性</t>
  </si>
  <si>
    <t>Chronic Myelomonocytic Leukemia (CMML)_慢性骨髄単球性白血病</t>
  </si>
  <si>
    <t>Chronic Myelomonocytic Leukemia-0 (CMML0)_慢性骨髄単球性白血病-0</t>
  </si>
  <si>
    <t>Chronic Myelomonocytic Leukemia-1 (CMML1)_慢性骨髄単球性白血病-1</t>
  </si>
  <si>
    <t>Chronic Myelomonocytic Leukemia-2 (CMML2)_慢性骨髄単球性白血病-2</t>
  </si>
  <si>
    <t>Juvenile Myelomonocytic Leukemia (JMML)_若年性骨髄単球性白血病</t>
  </si>
  <si>
    <t>MDS/MPN with Ring Sideroblasts and Thrombocytosis (MDSMPNRST)_環状鉄芽球と血小板増加 を伴う骨髄異形成症候群/骨髄増殖性腫瘍</t>
  </si>
  <si>
    <t>Myeloid Neoplasms with Germ Line Predisposition (MNGLP)_生殖細胞系素因を伴う骨髄性腫瘍</t>
  </si>
  <si>
    <t>Myeloid/Lymphoid Neoplasms with Eosinophilia and Rearrangement of  PDGFRA/PDGFRB or FGFR1 or with PCM1-JAK2 (MLNER)_好酸球増加とPDGFRA/PDGFRBまたはFGFR1遺伝子再構成もしくはPCM1-JAK2を伴う骨髄性/リンパ性腫瘍</t>
  </si>
  <si>
    <t>Myeloid/Lymphoid Neoplasms with FGFR1 Rearrangement (MLNFGFR1)_FGFR1 再構成を伴う骨髄性/リンパ性腫瘍</t>
  </si>
  <si>
    <t>Myeloid/Lymphoid Neoplasms with PCM1-JAK2 (MLNPCM1JAK2)_PCM1-JAK2を伴う骨髄性/リンパ性腫瘍</t>
  </si>
  <si>
    <t>Myeloid/Lymphoid Neoplasms with PDGFRA Rearrangement (MLNPDGFRA)_PDGFRA 再構成を伴う骨髄性/リンパ性腫瘍</t>
  </si>
  <si>
    <t>Myeloid/Lymphoid Neoplasms with PDGFRB Rearrangement (MLNPDGFRB)_PDGFRB 再構成を伴う骨髄性/リンパ性腫瘍</t>
  </si>
  <si>
    <t>Myeloproliferative Neoplasms (MPN)_骨髄増殖性腫瘍</t>
  </si>
  <si>
    <t>Chronic Myelogenous Leukemia (CML)_慢性骨髄性白血病</t>
  </si>
  <si>
    <t>Chronic Myeloid Leukemia, BCR-ABL1+ (CMLBCRABL1)_慢性骨髄性白血病、BCR-ABL1陽性</t>
  </si>
  <si>
    <t>Chronic Neutrophilic Leukemia (CNL)_慢性好中球性白血病</t>
  </si>
  <si>
    <t>Essential Thrombocythemia (ET)_本態性血小板血症</t>
  </si>
  <si>
    <t>Essential Thrombocythemia Myelofibrosis (ETMF)_本態性血小板血症骨髄線維症</t>
  </si>
  <si>
    <t>Polycythemia Vera (PV)_真性多血症</t>
  </si>
  <si>
    <t>Polycythaemia Vera Myelofibrosis (PVMF)_真性多血症骨髄線維症</t>
  </si>
  <si>
    <t>Primary Myelofibrosis (PMF)_原発性骨髄線維症</t>
  </si>
  <si>
    <t>Primary Myelofibrosis, Prefibrotic/Early Stage (PMFPES)_原発性骨髄線維症、前線維化期</t>
  </si>
  <si>
    <t>Primary Myelofibrosis,Overt Fibrotic Stage (PMFOFS)_原発性骨髄線維症、線維化期</t>
  </si>
  <si>
    <t>Adenocarcinoma In Situ (AIS)_原発不明上皮内腺癌</t>
  </si>
  <si>
    <t>Cancer of Unknown Primary (CUP)_原発不明癌</t>
  </si>
  <si>
    <t>Adenocarcinoma, NOS (ADNOS)_原発不明腺癌、特定不能</t>
  </si>
  <si>
    <t>Cancer of Unknown Primary, NOS (CUPNOS)_原発不明癌、特定不能</t>
  </si>
  <si>
    <t>Neuroendocrine Carcinoma, NOS (NECNOS)_原発不明神経内分泌癌、特定不能</t>
  </si>
  <si>
    <t>Neuroendocrine Tumor, NOS (NETNOS)_原発不明神経内分泌腫瘍、特定不能</t>
  </si>
  <si>
    <t>Poorly Differentiated Carcinoma, NOS (PDC)_原発不明低分化癌、特定不能</t>
  </si>
  <si>
    <t>Small Cell Carcinoma of Unknown Primary (SCUP)_原発不明小細胞癌、特定不能</t>
  </si>
  <si>
    <t>Squamous Cell Carcinoma, NOS (SCCNOS)_原発不明扁平上皮癌、特定不能</t>
  </si>
  <si>
    <t>Undifferentiated Malignant Neoplasm (UDMN)_未分化悪性新生物</t>
  </si>
  <si>
    <t>Extra Gonadal Germ Cell Tumor (EGCT)_原発不明性腺外胚細胞腫瘍</t>
  </si>
  <si>
    <t>Mixed Cancer Types (MIXED)_原発不明混合性型癌</t>
  </si>
  <si>
    <t>甲状腺</t>
  </si>
  <si>
    <t>肺</t>
  </si>
  <si>
    <t>胸膜</t>
  </si>
  <si>
    <t>胸腺</t>
  </si>
  <si>
    <t>乳房</t>
  </si>
  <si>
    <t>腸</t>
  </si>
  <si>
    <t>腹膜</t>
  </si>
  <si>
    <t>胆道</t>
  </si>
  <si>
    <t>副腎</t>
  </si>
  <si>
    <t>前立腺</t>
  </si>
  <si>
    <t>精巣</t>
  </si>
  <si>
    <t>皮膚</t>
  </si>
  <si>
    <t>軟部組織</t>
  </si>
  <si>
    <t>骨</t>
  </si>
  <si>
    <t>リンパ球系</t>
  </si>
  <si>
    <t>骨髄</t>
  </si>
  <si>
    <t>OncoTree</t>
    <phoneticPr fontId="1"/>
  </si>
  <si>
    <t>上部消化管内視鏡検査</t>
    <rPh sb="0" eb="5">
      <t>ジョウブショウ</t>
    </rPh>
    <rPh sb="5" eb="8">
      <t xml:space="preserve">ナイシキョウ </t>
    </rPh>
    <rPh sb="8" eb="10">
      <t xml:space="preserve">ケンサ </t>
    </rPh>
    <phoneticPr fontId="1"/>
  </si>
  <si>
    <t>病変臓器</t>
    <rPh sb="0" eb="4">
      <t>ビョウヘ</t>
    </rPh>
    <phoneticPr fontId="1"/>
  </si>
  <si>
    <t>中枢神経系_脳</t>
    <phoneticPr fontId="1"/>
  </si>
  <si>
    <t>食道_胃</t>
    <rPh sb="0" eb="2">
      <t xml:space="preserve">ショクドウ </t>
    </rPh>
    <phoneticPr fontId="1"/>
  </si>
  <si>
    <t>膀胱_尿路</t>
    <rPh sb="0" eb="2">
      <t xml:space="preserve">ボウコウ </t>
    </rPh>
    <phoneticPr fontId="1"/>
  </si>
  <si>
    <t>卵巣_卵管</t>
    <rPh sb="0" eb="2">
      <t xml:space="preserve">ランソウ </t>
    </rPh>
    <phoneticPr fontId="1"/>
  </si>
  <si>
    <t>外陰部_膣</t>
    <rPh sb="0" eb="3">
      <t>ガイイ</t>
    </rPh>
    <phoneticPr fontId="1"/>
  </si>
  <si>
    <t>Metaplastic Adenosquamous Carcinoma (MASC)_腺扁平上皮癌</t>
    <rPh sb="43" eb="44">
      <t>セン</t>
    </rPh>
    <phoneticPr fontId="1"/>
  </si>
  <si>
    <t xml:space="preserve">Metaplastic Squamous Cell Carcinoma (MSCC)_扁平上皮癌 </t>
    <rPh sb="43" eb="48">
      <t>ヘンペイジョウヒガン</t>
    </rPh>
    <phoneticPr fontId="1"/>
  </si>
  <si>
    <t>Embryonal Carcinoma (OEC)_胎児性癌</t>
    <rPh sb="26" eb="28">
      <t>タイジ</t>
    </rPh>
    <phoneticPr fontId="1"/>
  </si>
  <si>
    <t>Embryonal Carcinoma (VOEC)_胎児性癌</t>
    <rPh sb="27" eb="29">
      <t>タイジ</t>
    </rPh>
    <phoneticPr fontId="1"/>
  </si>
  <si>
    <t>Choriocarcinoma (TCCA)_絨毛癌</t>
    <rPh sb="23" eb="25">
      <t>ジュウモウ</t>
    </rPh>
    <phoneticPr fontId="1"/>
  </si>
  <si>
    <t>Embryonal Carcinoma (EMBCA)_胎児性癌</t>
    <rPh sb="28" eb="30">
      <t>タイジ</t>
    </rPh>
    <phoneticPr fontId="1"/>
  </si>
  <si>
    <t>Mixed Germ Cell Tumor (MGCT)_混合性胚細胞腫瘍</t>
    <rPh sb="29" eb="31">
      <t>コンゴウ</t>
    </rPh>
    <phoneticPr fontId="1"/>
  </si>
  <si>
    <t>Yolk Sac Tumor (TYST)_卵黄嚢腫瘍</t>
    <rPh sb="22" eb="24">
      <t>ランオウ</t>
    </rPh>
    <phoneticPr fontId="1"/>
  </si>
  <si>
    <t>Poorly Differentiated Non-Small Cell Lung Cancer (NSCLCPD)_低分化非小細胞肺癌</t>
    <rPh sb="59" eb="62">
      <t>テイブンカ</t>
    </rPh>
    <phoneticPr fontId="1"/>
  </si>
  <si>
    <t>卵巣絨毛癌、特定不能</t>
    <rPh sb="6" eb="8">
      <t>トクテイ</t>
    </rPh>
    <rPh sb="8" eb="10">
      <t>フノウ</t>
    </rPh>
    <phoneticPr fontId="1"/>
  </si>
  <si>
    <t>Steroid Cell Tumor, NOS (SCT)_卵巣ステロイド細胞腫瘍、特定不能</t>
    <rPh sb="42" eb="44">
      <t>トクテイ</t>
    </rPh>
    <phoneticPr fontId="1"/>
  </si>
  <si>
    <t>Peripheral T-Cell lymphoma, NOS (PTCL)_末梢性T細胞リンパ腫、非特異型</t>
    <rPh sb="50" eb="51">
      <t>ヒ</t>
    </rPh>
    <rPh sb="51" eb="54">
      <t>トクイガタ</t>
    </rPh>
    <phoneticPr fontId="1"/>
  </si>
  <si>
    <t>Acinar Cell Carcinoma, NOS (ACN)_原発不明腺房細胞癌、特定不能</t>
    <rPh sb="43" eb="45">
      <t>トクテイ</t>
    </rPh>
    <rPh sb="45" eb="47">
      <t>フノウ</t>
    </rPh>
    <phoneticPr fontId="1"/>
  </si>
  <si>
    <t>ファーター膨大部</t>
    <phoneticPr fontId="1"/>
  </si>
  <si>
    <t>ICD-10</t>
    <phoneticPr fontId="1"/>
  </si>
  <si>
    <t>C84_成熟T/NK細胞リンパ腫</t>
  </si>
  <si>
    <t>C88_悪性免疫増殖性疾患</t>
  </si>
  <si>
    <t>C91_リンパ性白血病</t>
  </si>
  <si>
    <t>C92_骨髄性白血病</t>
  </si>
  <si>
    <t>C93_単球性白血病</t>
  </si>
  <si>
    <t>C94_細胞型の明示されたその他の白血病</t>
  </si>
  <si>
    <t>C45_中皮腫</t>
  </si>
  <si>
    <t>C46_カポジ＜Kaposi＞肉腫</t>
  </si>
  <si>
    <t>C79_その他の部位及び部位不明の続発性悪性新生物＜腫瘍＞</t>
  </si>
  <si>
    <t>C80_悪性新生物＜腫瘍＞，部位が明示されていないもの</t>
  </si>
  <si>
    <t>C81_ホジキン＜Hodgkin＞リンパ腫</t>
  </si>
  <si>
    <t>C82_ろ＜濾＞胞性リンパ腫</t>
  </si>
  <si>
    <t>C83_非ろ＜濾＞胞性リンパ腫</t>
  </si>
  <si>
    <t>C85_非ホジキン＜non-Hodgkin＞リンパ腫のその他及び詳細不明の型</t>
  </si>
  <si>
    <t>C86_T/NK細胞リンパ腫のその他の明示された型</t>
  </si>
  <si>
    <t>C95_細胞型不明の白血病</t>
  </si>
  <si>
    <t>C18.0_盲腸</t>
  </si>
  <si>
    <t>C18.1_虫垂</t>
  </si>
  <si>
    <t>C18.2_上行結腸</t>
  </si>
  <si>
    <t>C18.3_右結腸曲＜肝弯曲＞</t>
  </si>
  <si>
    <t>C18.4_横行結腸</t>
  </si>
  <si>
    <t>C18.5_左結腸曲＜脾弯曲＞</t>
  </si>
  <si>
    <t>C18.6_下行結腸</t>
  </si>
  <si>
    <t>C18.7_S状結腸</t>
  </si>
  <si>
    <t>C18.9_結腸，部位不明</t>
  </si>
  <si>
    <t>unknown</t>
    <phoneticPr fontId="1"/>
  </si>
  <si>
    <t>OncoTree_LV1</t>
    <phoneticPr fontId="1"/>
  </si>
  <si>
    <t>上皮内新生物</t>
    <rPh sb="0" eb="3">
      <t xml:space="preserve">ジョウヒナイ </t>
    </rPh>
    <rPh sb="3" eb="6">
      <t xml:space="preserve">シンセイブツ </t>
    </rPh>
    <phoneticPr fontId="1"/>
  </si>
  <si>
    <t>良性新生物</t>
    <rPh sb="0" eb="2">
      <t xml:space="preserve">リョウセイ </t>
    </rPh>
    <rPh sb="2" eb="5">
      <t>シンｓ</t>
    </rPh>
    <phoneticPr fontId="1"/>
  </si>
  <si>
    <t>D01.0_結腸の上皮内新生物</t>
    <phoneticPr fontId="1"/>
  </si>
  <si>
    <t>D01.1_直腸S状結腸移行部の上皮内新生物</t>
    <phoneticPr fontId="1"/>
  </si>
  <si>
    <t>D01.2_直腸の上皮内新生物</t>
    <phoneticPr fontId="1"/>
  </si>
  <si>
    <t>D01.3_肛門及び肛門管の上皮内新生物</t>
    <phoneticPr fontId="1"/>
  </si>
  <si>
    <t>D01.4_その他及び部位不明の腸の上皮内新生物</t>
    <phoneticPr fontId="1"/>
  </si>
  <si>
    <t>D12.0_盲腸の良性新生物</t>
    <phoneticPr fontId="1"/>
  </si>
  <si>
    <t>D12.1_虫垂の良性新生物</t>
    <phoneticPr fontId="1"/>
  </si>
  <si>
    <t>D12.2_上行結腸の良性新生物</t>
    <phoneticPr fontId="1"/>
  </si>
  <si>
    <t>D12.3_横行結腸の良性新生物</t>
    <phoneticPr fontId="1"/>
  </si>
  <si>
    <t>D12.4_下行結腸の良性新生物</t>
    <phoneticPr fontId="1"/>
  </si>
  <si>
    <t>D12.5_S状結腸の良性新生物</t>
    <phoneticPr fontId="1"/>
  </si>
  <si>
    <t>D12.6_結腸，部位不明の良性新生物</t>
    <phoneticPr fontId="1"/>
  </si>
  <si>
    <t>D12.7_直腸S状結腸移行部の良性新生物</t>
    <phoneticPr fontId="1"/>
  </si>
  <si>
    <t>D12.8_直腸の良性新生物</t>
    <phoneticPr fontId="1"/>
  </si>
  <si>
    <t>D12.9_肛門及び肛門管の良性新生物</t>
    <phoneticPr fontId="1"/>
  </si>
  <si>
    <t>子宮内膜組織診</t>
    <rPh sb="0" eb="4">
      <t>シキュウナイ</t>
    </rPh>
    <rPh sb="4" eb="7">
      <t xml:space="preserve">ソシキシｎ </t>
    </rPh>
    <phoneticPr fontId="1"/>
  </si>
  <si>
    <t>経膣超音波検査</t>
    <rPh sb="0" eb="2">
      <t xml:space="preserve">ケイチツ </t>
    </rPh>
    <rPh sb="2" eb="7">
      <t>チョウオ</t>
    </rPh>
    <phoneticPr fontId="1"/>
  </si>
  <si>
    <t>尿細胞診</t>
    <rPh sb="0" eb="4">
      <t>ニョウサイボ</t>
    </rPh>
    <phoneticPr fontId="1"/>
  </si>
  <si>
    <t>C00_口唇</t>
    <phoneticPr fontId="1"/>
  </si>
  <si>
    <t>C01_舌根＜基底＞部</t>
    <phoneticPr fontId="1"/>
  </si>
  <si>
    <t>C02_舌のその他及び部位不明</t>
    <phoneticPr fontId="1"/>
  </si>
  <si>
    <t>C03_歯肉</t>
    <phoneticPr fontId="1"/>
  </si>
  <si>
    <t>C04_口（腔）底</t>
    <phoneticPr fontId="1"/>
  </si>
  <si>
    <t>C05_口蓋</t>
    <phoneticPr fontId="1"/>
  </si>
  <si>
    <t>C06_その他及び部位不明の口腔</t>
    <phoneticPr fontId="1"/>
  </si>
  <si>
    <t>C07_耳下腺</t>
    <phoneticPr fontId="1"/>
  </si>
  <si>
    <t>C08_その他及び部位不明の大唾液腺</t>
    <phoneticPr fontId="1"/>
  </si>
  <si>
    <t>C09_扁桃の悪性新生物＜腫瘍＞</t>
    <phoneticPr fontId="1"/>
  </si>
  <si>
    <t>C10_中咽頭</t>
    <phoneticPr fontId="1"/>
  </si>
  <si>
    <t>C11_鼻＜上＞咽頭</t>
    <phoneticPr fontId="1"/>
  </si>
  <si>
    <t>C12_梨状陥凹＜洞＞</t>
    <phoneticPr fontId="1"/>
  </si>
  <si>
    <t>C13_下咽頭</t>
    <phoneticPr fontId="1"/>
  </si>
  <si>
    <t>C14_その他及び部位不明確の口唇，口腔及び咽頭</t>
    <phoneticPr fontId="1"/>
  </si>
  <si>
    <t>C15_食道</t>
    <phoneticPr fontId="1"/>
  </si>
  <si>
    <t>C16_胃</t>
    <phoneticPr fontId="1"/>
  </si>
  <si>
    <t>C17_小腸</t>
    <phoneticPr fontId="1"/>
  </si>
  <si>
    <t>C18_結腸</t>
    <phoneticPr fontId="1"/>
  </si>
  <si>
    <t>C18.8_結腸の境界部病巣</t>
    <phoneticPr fontId="1"/>
  </si>
  <si>
    <t>C19_直腸S状結腸移行部</t>
    <phoneticPr fontId="1"/>
  </si>
  <si>
    <t>C20_直腸</t>
    <phoneticPr fontId="1"/>
  </si>
  <si>
    <t>C21_肛門及び肛門管</t>
    <phoneticPr fontId="1"/>
  </si>
  <si>
    <t>C22_肝及び肝内胆管</t>
    <phoneticPr fontId="1"/>
  </si>
  <si>
    <t>C23_胆のう＜嚢＞</t>
    <phoneticPr fontId="1"/>
  </si>
  <si>
    <t>C24_その他及び部位不明の胆道</t>
    <phoneticPr fontId="1"/>
  </si>
  <si>
    <t>C25_膵</t>
    <phoneticPr fontId="1"/>
  </si>
  <si>
    <t>C26_その他及び部位不明確の消化器</t>
    <phoneticPr fontId="1"/>
  </si>
  <si>
    <t>C30_鼻腔及び中耳</t>
    <phoneticPr fontId="1"/>
  </si>
  <si>
    <t>C31_副鼻腔</t>
    <phoneticPr fontId="1"/>
  </si>
  <si>
    <t>C32_喉頭</t>
    <phoneticPr fontId="1"/>
  </si>
  <si>
    <t>C33_気管</t>
    <phoneticPr fontId="1"/>
  </si>
  <si>
    <t>C34_気管支及び肺</t>
    <phoneticPr fontId="1"/>
  </si>
  <si>
    <t>C37_胸腺</t>
    <phoneticPr fontId="1"/>
  </si>
  <si>
    <t>C38_心臓，縦隔及び胸膜</t>
    <phoneticPr fontId="1"/>
  </si>
  <si>
    <t>C39_その他及び部位不明確の呼吸器系及び胸腔内臓器</t>
    <phoneticPr fontId="1"/>
  </si>
  <si>
    <t>C40_（四）肢の骨及び関節軟骨</t>
    <phoneticPr fontId="1"/>
  </si>
  <si>
    <t>C41_その他及び部位不明の骨及び関節軟骨</t>
    <phoneticPr fontId="1"/>
  </si>
  <si>
    <t>C43_皮膚</t>
    <phoneticPr fontId="1"/>
  </si>
  <si>
    <t>C44_皮膚のその他</t>
    <phoneticPr fontId="1"/>
  </si>
  <si>
    <t>C47_末梢神経及び自律神経系</t>
    <phoneticPr fontId="1"/>
  </si>
  <si>
    <t>C48_後腹膜及び腹膜</t>
    <phoneticPr fontId="1"/>
  </si>
  <si>
    <t>C49_その他の結合組織及び軟部組織</t>
    <phoneticPr fontId="1"/>
  </si>
  <si>
    <t>C50_乳房</t>
    <phoneticPr fontId="1"/>
  </si>
  <si>
    <t>C51_外陰（部）</t>
    <phoneticPr fontId="1"/>
  </si>
  <si>
    <t>C52_腟</t>
    <phoneticPr fontId="1"/>
  </si>
  <si>
    <t>C53_子宮頚部</t>
    <phoneticPr fontId="1"/>
  </si>
  <si>
    <t>C54_子宮体部</t>
    <phoneticPr fontId="1"/>
  </si>
  <si>
    <t>C55_子宮_部位不明</t>
    <phoneticPr fontId="1"/>
  </si>
  <si>
    <t>C56_卵巣</t>
    <phoneticPr fontId="1"/>
  </si>
  <si>
    <t>C57_その他及び部位不明の女性生殖器</t>
    <phoneticPr fontId="1"/>
  </si>
  <si>
    <t>C58_胎盤</t>
    <phoneticPr fontId="1"/>
  </si>
  <si>
    <t>C60_陰茎</t>
    <phoneticPr fontId="1"/>
  </si>
  <si>
    <t>C61_前立腺</t>
    <phoneticPr fontId="1"/>
  </si>
  <si>
    <t>C62_精巣＜睾丸＞</t>
    <phoneticPr fontId="1"/>
  </si>
  <si>
    <t>C63_その他及び部位不明の男性生殖器</t>
    <phoneticPr fontId="1"/>
  </si>
  <si>
    <t>C64_腎盂を除く腎</t>
    <phoneticPr fontId="1"/>
  </si>
  <si>
    <t>C65_腎盂</t>
    <phoneticPr fontId="1"/>
  </si>
  <si>
    <t>C66_尿管</t>
    <phoneticPr fontId="1"/>
  </si>
  <si>
    <t>C67_膀胱</t>
    <phoneticPr fontId="1"/>
  </si>
  <si>
    <t>C68_その他及び部位不明の尿路</t>
    <phoneticPr fontId="1"/>
  </si>
  <si>
    <t>C69_眼及び付属器</t>
    <phoneticPr fontId="1"/>
  </si>
  <si>
    <t>C70_髄膜</t>
    <phoneticPr fontId="1"/>
  </si>
  <si>
    <t>C71_脳</t>
    <phoneticPr fontId="1"/>
  </si>
  <si>
    <t>C72_脊髄，脳神経及びその他の中枢神経系の部位</t>
    <phoneticPr fontId="1"/>
  </si>
  <si>
    <t>C73_甲状腺</t>
    <phoneticPr fontId="1"/>
  </si>
  <si>
    <t>C74_副腎</t>
    <phoneticPr fontId="1"/>
  </si>
  <si>
    <t>C75_その他の内分泌腺及び関連組織</t>
    <phoneticPr fontId="1"/>
  </si>
  <si>
    <t>C76_その他及び部位不明確</t>
    <phoneticPr fontId="1"/>
  </si>
  <si>
    <t>C77_リンパ節の続発性及び部位不明</t>
    <phoneticPr fontId="1"/>
  </si>
  <si>
    <t>C78_呼吸器及び消化器の続発性悪性新生物＜腫瘍＞</t>
    <phoneticPr fontId="1"/>
  </si>
  <si>
    <t>C90_多発性骨髄腫及び悪性形質細胞性新生物＜腫瘍＞</t>
    <phoneticPr fontId="1"/>
  </si>
  <si>
    <t>C96_リンパ組織，造血組織及び関連組織のその他及び詳細不明</t>
    <phoneticPr fontId="1"/>
  </si>
  <si>
    <t>C97_独立した（原発性）多部位</t>
    <phoneticPr fontId="1"/>
  </si>
  <si>
    <t>N85.1_子宮内膜異型増殖症</t>
    <rPh sb="6" eb="15">
      <t>シｋ</t>
    </rPh>
    <phoneticPr fontId="1"/>
  </si>
  <si>
    <t>薬剤名</t>
    <rPh sb="0" eb="2">
      <t xml:space="preserve">ヤクザイ </t>
    </rPh>
    <rPh sb="2" eb="3">
      <t xml:space="preserve">メイ </t>
    </rPh>
    <phoneticPr fontId="1"/>
  </si>
  <si>
    <t>検査や自己都合による1ヶ月以内の休薬は内服終了とはしない。</t>
    <rPh sb="0" eb="2">
      <t xml:space="preserve">ケンサ </t>
    </rPh>
    <rPh sb="3" eb="7">
      <t xml:space="preserve">ジコツゴウ </t>
    </rPh>
    <rPh sb="13" eb="15">
      <t xml:space="preserve">イナイ </t>
    </rPh>
    <rPh sb="16" eb="18">
      <t xml:space="preserve">キュウヤク </t>
    </rPh>
    <rPh sb="19" eb="21">
      <t xml:space="preserve">ナイフクシュウリョウ </t>
    </rPh>
    <rPh sb="21" eb="23">
      <t xml:space="preserve">シュウリョウ </t>
    </rPh>
    <phoneticPr fontId="1"/>
  </si>
  <si>
    <t>化学予防</t>
    <rPh sb="0" eb="4">
      <t>カガク</t>
    </rPh>
    <phoneticPr fontId="1"/>
  </si>
  <si>
    <t>アスピリン：低用量アスピリン（バイアスピリン）</t>
    <rPh sb="6" eb="9">
      <t>テイヨウ</t>
    </rPh>
    <phoneticPr fontId="1"/>
  </si>
  <si>
    <t>5-ASA：メサラジン（ペンタサ）</t>
    <phoneticPr fontId="1"/>
  </si>
  <si>
    <t>5-ASA：メサラジン（アサコール）</t>
    <phoneticPr fontId="1"/>
  </si>
  <si>
    <t>5-ASA：メサラジン（リアルダ）</t>
    <phoneticPr fontId="1"/>
  </si>
  <si>
    <t>5-ASA：サラゾスルファピリジン（サラゾピリン）</t>
    <phoneticPr fontId="1"/>
  </si>
  <si>
    <t>NSAIDs：スリンダク（クリノリル）</t>
    <phoneticPr fontId="1"/>
  </si>
  <si>
    <t>COX2-i：セレコキシブ（セレコックス）</t>
    <phoneticPr fontId="1"/>
  </si>
  <si>
    <t>アスピリン：高用量アスピリン</t>
    <rPh sb="6" eb="7">
      <t xml:space="preserve">タカイ </t>
    </rPh>
    <phoneticPr fontId="1"/>
  </si>
  <si>
    <t>難消化性デンプン</t>
    <rPh sb="0" eb="4">
      <t>ナンショ</t>
    </rPh>
    <phoneticPr fontId="1"/>
  </si>
  <si>
    <t>化学予防情報</t>
    <rPh sb="0" eb="4">
      <t>カガク</t>
    </rPh>
    <rPh sb="4" eb="6">
      <t xml:space="preserve">ジョウホウ </t>
    </rPh>
    <phoneticPr fontId="1"/>
  </si>
  <si>
    <t>内服開始日</t>
    <rPh sb="0" eb="2">
      <t xml:space="preserve">ナイフクキカｎ </t>
    </rPh>
    <rPh sb="2" eb="4">
      <t xml:space="preserve">カイシ </t>
    </rPh>
    <rPh sb="4" eb="5">
      <t xml:space="preserve">ニチ </t>
    </rPh>
    <phoneticPr fontId="1"/>
  </si>
  <si>
    <t>内服終了日</t>
    <rPh sb="0" eb="1">
      <t xml:space="preserve">ナイフクシュウリョウビ </t>
    </rPh>
    <phoneticPr fontId="1"/>
  </si>
  <si>
    <t>検査日</t>
    <rPh sb="0" eb="3">
      <t xml:space="preserve">ケンサビ </t>
    </rPh>
    <phoneticPr fontId="1"/>
  </si>
  <si>
    <t>MSI-H</t>
  </si>
  <si>
    <t>dMMR</t>
  </si>
  <si>
    <t>proficient</t>
  </si>
  <si>
    <t>unknown</t>
  </si>
  <si>
    <t>deficient</t>
  </si>
  <si>
    <t>検査所見</t>
    <rPh sb="0" eb="2">
      <t xml:space="preserve">ケンサ </t>
    </rPh>
    <rPh sb="2" eb="4">
      <t xml:space="preserve">ショケｎ </t>
    </rPh>
    <phoneticPr fontId="1"/>
  </si>
  <si>
    <t>治療内容</t>
    <rPh sb="0" eb="4">
      <t>チリョウナ</t>
    </rPh>
    <phoneticPr fontId="1"/>
  </si>
  <si>
    <t>治療内容</t>
    <rPh sb="0" eb="4">
      <t xml:space="preserve">チリョウナイヨウ </t>
    </rPh>
    <phoneticPr fontId="1"/>
  </si>
  <si>
    <t>回盲部切除術</t>
    <rPh sb="0" eb="3">
      <t xml:space="preserve">カイモウブ </t>
    </rPh>
    <rPh sb="3" eb="6">
      <t xml:space="preserve">セツジョジュツ </t>
    </rPh>
    <phoneticPr fontId="1"/>
  </si>
  <si>
    <t>右（半）結腸切除術</t>
    <rPh sb="0" eb="1">
      <t>→</t>
    </rPh>
    <rPh sb="2" eb="3">
      <t xml:space="preserve">ハンブｎ </t>
    </rPh>
    <rPh sb="4" eb="9">
      <t xml:space="preserve">ケッチョウセツジョジュツ </t>
    </rPh>
    <phoneticPr fontId="1"/>
  </si>
  <si>
    <t>横行結腸切除術</t>
    <rPh sb="0" eb="4">
      <t>オウコウ</t>
    </rPh>
    <rPh sb="4" eb="7">
      <t xml:space="preserve">セツジョジュツ </t>
    </rPh>
    <phoneticPr fontId="1"/>
  </si>
  <si>
    <t>左（半）結腸切除術</t>
    <rPh sb="0" eb="3">
      <t>サハン</t>
    </rPh>
    <rPh sb="4" eb="9">
      <t xml:space="preserve">サハンケッチョウセツジョジュツ </t>
    </rPh>
    <phoneticPr fontId="1"/>
  </si>
  <si>
    <t>S状結腸切除術</t>
    <rPh sb="1" eb="7">
      <t xml:space="preserve">ジョウケッチョウセツジョジュツ </t>
    </rPh>
    <phoneticPr fontId="1"/>
  </si>
  <si>
    <t>直腸低位前方切除術</t>
    <rPh sb="0" eb="1">
      <t xml:space="preserve">チョクチョウ </t>
    </rPh>
    <rPh sb="2" eb="4">
      <t xml:space="preserve">テイイ </t>
    </rPh>
    <rPh sb="4" eb="9">
      <t>ゼｎ</t>
    </rPh>
    <phoneticPr fontId="1"/>
  </si>
  <si>
    <t>直腸高位前方切除術</t>
    <rPh sb="0" eb="2">
      <t xml:space="preserve">チョクチョウ </t>
    </rPh>
    <rPh sb="2" eb="4">
      <t xml:space="preserve">コウイ </t>
    </rPh>
    <rPh sb="4" eb="9">
      <t xml:space="preserve">ゼンポウセツジョジュツ </t>
    </rPh>
    <phoneticPr fontId="1"/>
  </si>
  <si>
    <t>腹会陰式直腸切断術</t>
    <rPh sb="0" eb="9">
      <t>フクエインシｋ</t>
    </rPh>
    <phoneticPr fontId="1"/>
  </si>
  <si>
    <t>子宮全摘術</t>
    <rPh sb="0" eb="5">
      <t>シキュウ</t>
    </rPh>
    <phoneticPr fontId="1"/>
  </si>
  <si>
    <t>両側付属器切除術</t>
    <rPh sb="0" eb="8">
      <t xml:space="preserve">リョウソクフゾクキセツジョジュツ </t>
    </rPh>
    <phoneticPr fontId="1"/>
  </si>
  <si>
    <t>右付属器切除術</t>
    <rPh sb="0" eb="1">
      <t xml:space="preserve">ミギ </t>
    </rPh>
    <rPh sb="1" eb="7">
      <t>フゾ</t>
    </rPh>
    <phoneticPr fontId="1"/>
  </si>
  <si>
    <t>左付属器切除術</t>
    <rPh sb="0" eb="1">
      <t xml:space="preserve">ヒダリ </t>
    </rPh>
    <rPh sb="1" eb="7">
      <t>フ</t>
    </rPh>
    <phoneticPr fontId="1"/>
  </si>
  <si>
    <t>胃全摘術</t>
    <rPh sb="0" eb="4">
      <t xml:space="preserve">イゼンテキジュツ </t>
    </rPh>
    <phoneticPr fontId="1"/>
  </si>
  <si>
    <t>噴門側胃切除術</t>
    <rPh sb="0" eb="6">
      <t>フンモンソク</t>
    </rPh>
    <rPh sb="6" eb="7">
      <t xml:space="preserve">ジュツ </t>
    </rPh>
    <phoneticPr fontId="1"/>
  </si>
  <si>
    <t>幽門側胃切除術</t>
    <rPh sb="0" eb="6">
      <t>ユウモンソク</t>
    </rPh>
    <rPh sb="6" eb="7">
      <t xml:space="preserve">ジュツ </t>
    </rPh>
    <phoneticPr fontId="1"/>
  </si>
  <si>
    <t>膵頭十二指腸切除術</t>
    <rPh sb="0" eb="8">
      <t>スイトウジュ</t>
    </rPh>
    <rPh sb="8" eb="9">
      <t xml:space="preserve">ジュツ </t>
    </rPh>
    <phoneticPr fontId="1"/>
  </si>
  <si>
    <t>治療内容（自由記載）</t>
    <rPh sb="0" eb="4">
      <t>チリョウナ</t>
    </rPh>
    <rPh sb="5" eb="9">
      <t>ジユウ</t>
    </rPh>
    <phoneticPr fontId="1"/>
  </si>
  <si>
    <t>EMR_ESD</t>
    <phoneticPr fontId="1"/>
  </si>
  <si>
    <t>円錐切除術</t>
    <rPh sb="0" eb="5">
      <t xml:space="preserve">エンスイセツジョジュツ </t>
    </rPh>
    <phoneticPr fontId="1"/>
  </si>
  <si>
    <t>T</t>
    <phoneticPr fontId="1"/>
  </si>
  <si>
    <t>N</t>
    <phoneticPr fontId="1"/>
  </si>
  <si>
    <t>M</t>
    <phoneticPr fontId="1"/>
  </si>
  <si>
    <t>Stage</t>
    <phoneticPr fontId="1"/>
  </si>
  <si>
    <t>大腸腺腫</t>
    <rPh sb="0" eb="4">
      <t>ダイチョウセ</t>
    </rPh>
    <phoneticPr fontId="1"/>
  </si>
  <si>
    <t>ポリペクトミー</t>
  </si>
  <si>
    <t>ポリペクトミー</t>
    <phoneticPr fontId="1"/>
  </si>
  <si>
    <t>十二指腸腺腫</t>
    <rPh sb="0" eb="4">
      <t>ジュウニ</t>
    </rPh>
    <rPh sb="4" eb="6">
      <t xml:space="preserve">センシュ </t>
    </rPh>
    <phoneticPr fontId="1"/>
  </si>
  <si>
    <t>生検</t>
    <rPh sb="0" eb="2">
      <t xml:space="preserve">セイケｎ </t>
    </rPh>
    <phoneticPr fontId="1"/>
  </si>
  <si>
    <t>観察のみ</t>
    <rPh sb="0" eb="2">
      <t xml:space="preserve">カンサツノミ </t>
    </rPh>
    <phoneticPr fontId="1"/>
  </si>
  <si>
    <t>0</t>
    <phoneticPr fontId="1"/>
  </si>
  <si>
    <t>1</t>
    <phoneticPr fontId="1"/>
  </si>
  <si>
    <t>Stage (UICC)</t>
    <phoneticPr fontId="1"/>
  </si>
  <si>
    <t>右尿管癌疑い</t>
    <rPh sb="0" eb="1">
      <t xml:space="preserve">ミギ </t>
    </rPh>
    <rPh sb="1" eb="4">
      <t xml:space="preserve">ニョウカンガｎ </t>
    </rPh>
    <rPh sb="4" eb="5">
      <t xml:space="preserve">ウタガイ </t>
    </rPh>
    <phoneticPr fontId="1"/>
  </si>
  <si>
    <t>C54_子宮体部</t>
  </si>
  <si>
    <t>子宮全摘術+両側付属器切除術</t>
    <rPh sb="0" eb="1">
      <t>シキュウｚ</t>
    </rPh>
    <rPh sb="4" eb="5">
      <t xml:space="preserve">ジュツ </t>
    </rPh>
    <rPh sb="6" eb="11">
      <t>リョウ</t>
    </rPh>
    <rPh sb="11" eb="14">
      <t>セツジョ</t>
    </rPh>
    <phoneticPr fontId="1"/>
  </si>
  <si>
    <t>C66_尿管</t>
  </si>
  <si>
    <t>3</t>
    <phoneticPr fontId="1"/>
  </si>
  <si>
    <t>幽門輪温存膵頭十二指腸切除術</t>
    <rPh sb="0" eb="3">
      <t>ユウ</t>
    </rPh>
    <phoneticPr fontId="1"/>
  </si>
  <si>
    <t>右腎尿管全摘除術</t>
    <rPh sb="0" eb="1">
      <t xml:space="preserve">ミギ </t>
    </rPh>
    <rPh sb="1" eb="2">
      <t xml:space="preserve">ジｎ </t>
    </rPh>
    <rPh sb="2" eb="4">
      <t>ニョウｋ</t>
    </rPh>
    <rPh sb="4" eb="8">
      <t xml:space="preserve">ゼンテキジョジュツ </t>
    </rPh>
    <phoneticPr fontId="1"/>
  </si>
  <si>
    <t>左腎尿管全摘除術</t>
    <rPh sb="0" eb="1">
      <t xml:space="preserve">ヒダリ </t>
    </rPh>
    <rPh sb="1" eb="2">
      <t xml:space="preserve">ジｎ </t>
    </rPh>
    <rPh sb="2" eb="8">
      <t>ニョウカ</t>
    </rPh>
    <phoneticPr fontId="1"/>
  </si>
  <si>
    <t>治療（開始）日</t>
    <rPh sb="0" eb="2">
      <t xml:space="preserve">チリョウ </t>
    </rPh>
    <rPh sb="3" eb="5">
      <t xml:space="preserve">カイシ </t>
    </rPh>
    <rPh sb="6" eb="7">
      <t xml:space="preserve">ビ </t>
    </rPh>
    <phoneticPr fontId="1"/>
  </si>
  <si>
    <t>胆嚢癌</t>
    <rPh sb="0" eb="3">
      <t xml:space="preserve">タンノウガｎ </t>
    </rPh>
    <phoneticPr fontId="1"/>
  </si>
  <si>
    <t>C23_胆のう＜嚢＞</t>
  </si>
  <si>
    <t>全身薬物療法</t>
    <rPh sb="0" eb="6">
      <t>ゼンｓ</t>
    </rPh>
    <phoneticPr fontId="1"/>
  </si>
  <si>
    <t>GEM</t>
    <phoneticPr fontId="1"/>
  </si>
  <si>
    <t>大腸癌</t>
    <rPh sb="0" eb="1">
      <t xml:space="preserve">ダイチョウガｎ </t>
    </rPh>
    <phoneticPr fontId="1"/>
  </si>
  <si>
    <t>2</t>
    <phoneticPr fontId="1"/>
  </si>
  <si>
    <t>子宮全摘術+両側付属器切除術</t>
    <rPh sb="0" eb="5">
      <t>シキュウ</t>
    </rPh>
    <rPh sb="6" eb="11">
      <t>リョウソ</t>
    </rPh>
    <rPh sb="11" eb="14">
      <t>セｔ</t>
    </rPh>
    <phoneticPr fontId="1"/>
  </si>
  <si>
    <t>結腸全摘術</t>
    <rPh sb="0" eb="5">
      <t xml:space="preserve">ケッチョウゼンテキジュツ </t>
    </rPh>
    <phoneticPr fontId="1"/>
  </si>
  <si>
    <t>大腸全摘術</t>
    <rPh sb="0" eb="5">
      <t xml:space="preserve">ダイチョウゼンテキジュツ </t>
    </rPh>
    <phoneticPr fontId="1"/>
  </si>
  <si>
    <t>その他の手術</t>
    <rPh sb="4" eb="6">
      <t xml:space="preserve">シュジュツ </t>
    </rPh>
    <phoneticPr fontId="1"/>
  </si>
  <si>
    <t>全身薬物療法</t>
    <rPh sb="0" eb="1">
      <t>ゼン</t>
    </rPh>
    <phoneticPr fontId="1"/>
  </si>
  <si>
    <t>放射線療法</t>
    <rPh sb="0" eb="1">
      <t>ホウ</t>
    </rPh>
    <phoneticPr fontId="1"/>
  </si>
  <si>
    <t>全身薬物療法+放射線療法</t>
    <rPh sb="0" eb="6">
      <t>ゼン</t>
    </rPh>
    <rPh sb="7" eb="12">
      <t xml:space="preserve">ホウシャセンリョウホウ </t>
    </rPh>
    <phoneticPr fontId="1"/>
  </si>
  <si>
    <t>その他の治療</t>
    <rPh sb="0" eb="1">
      <t xml:space="preserve">ソノホカ </t>
    </rPh>
    <rPh sb="3" eb="4">
      <t>ノ</t>
    </rPh>
    <rPh sb="4" eb="6">
      <t xml:space="preserve">チリョウ </t>
    </rPh>
    <phoneticPr fontId="1"/>
  </si>
  <si>
    <t>---</t>
    <phoneticPr fontId="1"/>
  </si>
  <si>
    <t>確認検査日</t>
    <rPh sb="0" eb="4">
      <t>カクニ</t>
    </rPh>
    <rPh sb="4" eb="5">
      <t xml:space="preserve">ビ </t>
    </rPh>
    <phoneticPr fontId="1"/>
  </si>
  <si>
    <t>サーベイランス検査情報</t>
    <rPh sb="7" eb="9">
      <t xml:space="preserve">ケンサ </t>
    </rPh>
    <rPh sb="9" eb="11">
      <t xml:space="preserve">ジョウホウ </t>
    </rPh>
    <phoneticPr fontId="1"/>
  </si>
  <si>
    <t>採血</t>
    <rPh sb="0" eb="2">
      <t xml:space="preserve">サイケツ </t>
    </rPh>
    <phoneticPr fontId="1"/>
  </si>
  <si>
    <t>CA19-9上昇</t>
    <rPh sb="6" eb="8">
      <t xml:space="preserve">ジョウショウ </t>
    </rPh>
    <phoneticPr fontId="1"/>
  </si>
  <si>
    <t>確認検査（主要なもの）</t>
    <rPh sb="0" eb="4">
      <t xml:space="preserve">カクニンケンサ </t>
    </rPh>
    <rPh sb="5" eb="7">
      <t xml:space="preserve">シュヨウナモノ </t>
    </rPh>
    <phoneticPr fontId="1"/>
  </si>
  <si>
    <t>is</t>
    <phoneticPr fontId="1"/>
  </si>
  <si>
    <t>1a</t>
    <phoneticPr fontId="1"/>
  </si>
  <si>
    <t>1b</t>
    <phoneticPr fontId="1"/>
  </si>
  <si>
    <t>1c</t>
    <phoneticPr fontId="1"/>
  </si>
  <si>
    <t>2a</t>
    <phoneticPr fontId="1"/>
  </si>
  <si>
    <t>2b</t>
    <phoneticPr fontId="1"/>
  </si>
  <si>
    <t>1mi</t>
    <phoneticPr fontId="1"/>
  </si>
  <si>
    <t>1d</t>
    <phoneticPr fontId="1"/>
  </si>
  <si>
    <t>2c</t>
    <phoneticPr fontId="1"/>
  </si>
  <si>
    <t>2d</t>
    <phoneticPr fontId="1"/>
  </si>
  <si>
    <t>3a</t>
    <phoneticPr fontId="1"/>
  </si>
  <si>
    <t>3b</t>
    <phoneticPr fontId="1"/>
  </si>
  <si>
    <t>3c</t>
    <phoneticPr fontId="1"/>
  </si>
  <si>
    <t>3d</t>
    <phoneticPr fontId="1"/>
  </si>
  <si>
    <t>4a</t>
    <phoneticPr fontId="1"/>
  </si>
  <si>
    <t>4b</t>
    <phoneticPr fontId="1"/>
  </si>
  <si>
    <t>4c</t>
    <phoneticPr fontId="1"/>
  </si>
  <si>
    <t>4d</t>
    <phoneticPr fontId="1"/>
  </si>
  <si>
    <t>4e</t>
    <phoneticPr fontId="1"/>
  </si>
  <si>
    <t>X</t>
    <phoneticPr fontId="1"/>
  </si>
  <si>
    <t>I</t>
    <phoneticPr fontId="1"/>
  </si>
  <si>
    <t>IA</t>
    <phoneticPr fontId="1"/>
  </si>
  <si>
    <t>IB</t>
    <phoneticPr fontId="1"/>
  </si>
  <si>
    <t>IC</t>
    <phoneticPr fontId="1"/>
  </si>
  <si>
    <t>II</t>
    <phoneticPr fontId="1"/>
  </si>
  <si>
    <t>IIA</t>
    <phoneticPr fontId="1"/>
  </si>
  <si>
    <t>IIB</t>
    <phoneticPr fontId="1"/>
  </si>
  <si>
    <t>IIC</t>
    <phoneticPr fontId="1"/>
  </si>
  <si>
    <t>III</t>
    <phoneticPr fontId="1"/>
  </si>
  <si>
    <t>IIIA</t>
    <phoneticPr fontId="1"/>
  </si>
  <si>
    <t>IIIB</t>
    <phoneticPr fontId="1"/>
  </si>
  <si>
    <t>IIIC</t>
    <phoneticPr fontId="1"/>
  </si>
  <si>
    <t>IV</t>
    <phoneticPr fontId="1"/>
  </si>
  <si>
    <t>IVA</t>
    <phoneticPr fontId="1"/>
  </si>
  <si>
    <t>IVB</t>
    <phoneticPr fontId="1"/>
  </si>
  <si>
    <t>IVC</t>
    <phoneticPr fontId="1"/>
  </si>
  <si>
    <t>3か所 adenoma</t>
    <phoneticPr fontId="1"/>
  </si>
  <si>
    <t>有害事象</t>
    <rPh sb="0" eb="4">
      <t xml:space="preserve">ユウガイジショウ </t>
    </rPh>
    <phoneticPr fontId="1"/>
  </si>
  <si>
    <t>有害事象_1</t>
    <rPh sb="0" eb="4">
      <t xml:space="preserve">ユウガイジショウ </t>
    </rPh>
    <phoneticPr fontId="1"/>
  </si>
  <si>
    <t>有害事象_2</t>
    <rPh sb="0" eb="4">
      <t xml:space="preserve">ユウガイジショウ </t>
    </rPh>
    <phoneticPr fontId="1"/>
  </si>
  <si>
    <t>有害事象_3</t>
    <rPh sb="0" eb="4">
      <t xml:space="preserve">ユウガイジショウ </t>
    </rPh>
    <phoneticPr fontId="1"/>
  </si>
  <si>
    <t>出血</t>
    <rPh sb="0" eb="2">
      <t xml:space="preserve">シュッケツ </t>
    </rPh>
    <phoneticPr fontId="1"/>
  </si>
  <si>
    <t>Grade</t>
    <phoneticPr fontId="1"/>
  </si>
  <si>
    <t>中毒性表皮壊死融解症</t>
    <phoneticPr fontId="1"/>
  </si>
  <si>
    <t>Stevens-Johnson症候群</t>
    <phoneticPr fontId="1"/>
  </si>
  <si>
    <t>剥脱性皮膚炎</t>
    <phoneticPr fontId="1"/>
  </si>
  <si>
    <t>再生不良性貧血</t>
    <phoneticPr fontId="1"/>
  </si>
  <si>
    <t>血小板減少</t>
    <phoneticPr fontId="1"/>
  </si>
  <si>
    <t>白血球減少</t>
    <phoneticPr fontId="1"/>
  </si>
  <si>
    <t>喘息発作の誘発</t>
    <phoneticPr fontId="1"/>
  </si>
  <si>
    <t>消化性潰瘍</t>
    <phoneticPr fontId="1"/>
  </si>
  <si>
    <t>ショック、アナフィラキシー</t>
    <phoneticPr fontId="1"/>
  </si>
  <si>
    <t>Grade 3</t>
    <phoneticPr fontId="1"/>
  </si>
  <si>
    <t>Grade 4</t>
    <phoneticPr fontId="1"/>
  </si>
  <si>
    <t>終了理由</t>
    <rPh sb="0" eb="4">
      <t xml:space="preserve">シュウリョウリユウ </t>
    </rPh>
    <phoneticPr fontId="1"/>
  </si>
  <si>
    <t>終了理由</t>
    <rPh sb="0" eb="2">
      <t xml:space="preserve">シュウリョウ </t>
    </rPh>
    <rPh sb="2" eb="4">
      <t>リ</t>
    </rPh>
    <phoneticPr fontId="1"/>
  </si>
  <si>
    <t>担当医の判断</t>
    <rPh sb="0" eb="3">
      <t xml:space="preserve">タントウイ </t>
    </rPh>
    <rPh sb="4" eb="6">
      <t xml:space="preserve">ハンダｎ </t>
    </rPh>
    <phoneticPr fontId="1"/>
  </si>
  <si>
    <t>有害事象</t>
    <rPh sb="0" eb="4">
      <t>ユウガ</t>
    </rPh>
    <phoneticPr fontId="1"/>
  </si>
  <si>
    <t>手術</t>
    <rPh sb="0" eb="2">
      <t xml:space="preserve">シュジュツ </t>
    </rPh>
    <phoneticPr fontId="1"/>
  </si>
  <si>
    <t>効果不十分</t>
    <rPh sb="0" eb="5">
      <t xml:space="preserve">コウカフジュウブｎ </t>
    </rPh>
    <phoneticPr fontId="1"/>
  </si>
  <si>
    <t>肝機能障害</t>
    <rPh sb="0" eb="5">
      <t xml:space="preserve">カンキノウショウガイ </t>
    </rPh>
    <phoneticPr fontId="1"/>
  </si>
  <si>
    <t>腎機能障害</t>
    <rPh sb="0" eb="5">
      <t>ジンキノウショウｇ</t>
    </rPh>
    <phoneticPr fontId="1"/>
  </si>
  <si>
    <t>有害事象はGrade 3以上</t>
    <rPh sb="0" eb="4">
      <t>ユウ</t>
    </rPh>
    <rPh sb="12" eb="14">
      <t xml:space="preserve">イジョウ </t>
    </rPh>
    <phoneticPr fontId="1"/>
  </si>
  <si>
    <t>NSAIDs：スリンダク（クリノリル）</t>
  </si>
  <si>
    <t>I</t>
  </si>
  <si>
    <t>IA</t>
  </si>
  <si>
    <t>IIIA</t>
  </si>
  <si>
    <t>IVA</t>
  </si>
  <si>
    <t>IIIB</t>
  </si>
  <si>
    <t>IHC</t>
    <phoneticPr fontId="1"/>
  </si>
  <si>
    <t>ありなし</t>
    <phoneticPr fontId="1"/>
  </si>
  <si>
    <t>本数（本/日）</t>
    <rPh sb="0" eb="2">
      <t xml:space="preserve">ホンスウ </t>
    </rPh>
    <rPh sb="3" eb="4">
      <t xml:space="preserve">ホン </t>
    </rPh>
    <rPh sb="5" eb="6">
      <t xml:space="preserve">ニチ </t>
    </rPh>
    <phoneticPr fontId="1"/>
  </si>
  <si>
    <t>喫煙歴</t>
    <rPh sb="0" eb="3">
      <t>キツエン</t>
    </rPh>
    <phoneticPr fontId="1"/>
  </si>
  <si>
    <t>嗜好歴</t>
    <rPh sb="0" eb="3">
      <t xml:space="preserve">シコウレキ </t>
    </rPh>
    <phoneticPr fontId="1"/>
  </si>
  <si>
    <t>離婚歴</t>
    <rPh sb="0" eb="2">
      <t xml:space="preserve">リコン </t>
    </rPh>
    <rPh sb="2" eb="3">
      <t xml:space="preserve">レキ </t>
    </rPh>
    <phoneticPr fontId="1"/>
  </si>
  <si>
    <t>開始年齢（歳）</t>
    <rPh sb="0" eb="2">
      <t xml:space="preserve">カイシ </t>
    </rPh>
    <rPh sb="2" eb="4">
      <t xml:space="preserve">ネンレイ </t>
    </rPh>
    <rPh sb="5" eb="6">
      <t xml:space="preserve">サイ </t>
    </rPh>
    <phoneticPr fontId="1"/>
  </si>
  <si>
    <t>禁煙年齢（歳）</t>
    <rPh sb="0" eb="2">
      <t xml:space="preserve">キンエン </t>
    </rPh>
    <rPh sb="2" eb="4">
      <t xml:space="preserve">ネンレイ </t>
    </rPh>
    <rPh sb="5" eb="6">
      <t xml:space="preserve">サイ </t>
    </rPh>
    <phoneticPr fontId="1"/>
  </si>
  <si>
    <t>妊娠_1</t>
    <rPh sb="0" eb="2">
      <t xml:space="preserve">ニンシｎ </t>
    </rPh>
    <phoneticPr fontId="1"/>
  </si>
  <si>
    <t>妊娠_2</t>
    <rPh sb="0" eb="2">
      <t xml:space="preserve">ニンシｎ </t>
    </rPh>
    <phoneticPr fontId="1"/>
  </si>
  <si>
    <t>妊娠_3</t>
    <rPh sb="0" eb="2">
      <t xml:space="preserve">ニンシｎ </t>
    </rPh>
    <phoneticPr fontId="1"/>
  </si>
  <si>
    <t>妊娠_4</t>
    <rPh sb="0" eb="2">
      <t xml:space="preserve">ニンシｎ </t>
    </rPh>
    <phoneticPr fontId="1"/>
  </si>
  <si>
    <t>婚姻歴</t>
    <rPh sb="0" eb="2">
      <t xml:space="preserve">コンイｎ </t>
    </rPh>
    <rPh sb="2" eb="3">
      <t xml:space="preserve">セイカツレキ </t>
    </rPh>
    <phoneticPr fontId="1"/>
  </si>
  <si>
    <t>結婚時年齢（歳）</t>
    <rPh sb="0" eb="2">
      <t xml:space="preserve">ケッコｎ </t>
    </rPh>
    <rPh sb="2" eb="3">
      <t xml:space="preserve">ジ </t>
    </rPh>
    <rPh sb="3" eb="5">
      <t xml:space="preserve">ネンレイ </t>
    </rPh>
    <rPh sb="6" eb="7">
      <t xml:space="preserve">サイ </t>
    </rPh>
    <phoneticPr fontId="1"/>
  </si>
  <si>
    <t>離婚時年齢（歳）</t>
    <rPh sb="0" eb="2">
      <t xml:space="preserve">リコン </t>
    </rPh>
    <rPh sb="2" eb="3">
      <t xml:space="preserve">ジ </t>
    </rPh>
    <rPh sb="3" eb="5">
      <t xml:space="preserve">ネンレイ </t>
    </rPh>
    <rPh sb="6" eb="7">
      <t xml:space="preserve">サイ </t>
    </rPh>
    <phoneticPr fontId="1"/>
  </si>
  <si>
    <t>妊娠出産歴</t>
    <rPh sb="0" eb="5">
      <t xml:space="preserve">ニンシンレキ </t>
    </rPh>
    <phoneticPr fontId="1"/>
  </si>
  <si>
    <t>妊娠_5</t>
    <rPh sb="0" eb="2">
      <t xml:space="preserve">ニンシｎ </t>
    </rPh>
    <phoneticPr fontId="1"/>
  </si>
  <si>
    <t>経膣</t>
    <rPh sb="0" eb="2">
      <t xml:space="preserve">ケイチツ </t>
    </rPh>
    <phoneticPr fontId="1"/>
  </si>
  <si>
    <t>分娩方法</t>
    <rPh sb="0" eb="2">
      <t xml:space="preserve">ブンベｎ </t>
    </rPh>
    <rPh sb="2" eb="4">
      <t xml:space="preserve">ホウホウ </t>
    </rPh>
    <phoneticPr fontId="1"/>
  </si>
  <si>
    <t>出産（流産・中絶）時年齢</t>
    <rPh sb="0" eb="10">
      <t xml:space="preserve">シュッサンジ </t>
    </rPh>
    <rPh sb="10" eb="12">
      <t xml:space="preserve">ネンレイ </t>
    </rPh>
    <phoneticPr fontId="1"/>
  </si>
  <si>
    <t>出産の別</t>
    <rPh sb="0" eb="1">
      <t xml:space="preserve">シュッサン </t>
    </rPh>
    <rPh sb="3" eb="4">
      <t xml:space="preserve">ベツ </t>
    </rPh>
    <phoneticPr fontId="1"/>
  </si>
  <si>
    <t>流産</t>
    <rPh sb="0" eb="2">
      <t xml:space="preserve">リュウザｎ </t>
    </rPh>
    <phoneticPr fontId="1"/>
  </si>
  <si>
    <t>出産</t>
    <rPh sb="0" eb="1">
      <t xml:space="preserve">シュッサン </t>
    </rPh>
    <phoneticPr fontId="1"/>
  </si>
  <si>
    <t>帝王切開</t>
    <rPh sb="0" eb="1">
      <t>テイオウ</t>
    </rPh>
    <phoneticPr fontId="1"/>
  </si>
  <si>
    <t>中絶</t>
    <rPh sb="0" eb="2">
      <t xml:space="preserve">チュウゼツ </t>
    </rPh>
    <phoneticPr fontId="1"/>
  </si>
  <si>
    <t>結婚_1</t>
    <rPh sb="0" eb="2">
      <t xml:space="preserve">ケッコｎ </t>
    </rPh>
    <phoneticPr fontId="1"/>
  </si>
  <si>
    <t>結婚_2</t>
    <rPh sb="0" eb="1">
      <t xml:space="preserve">ケッコｎ </t>
    </rPh>
    <phoneticPr fontId="1"/>
  </si>
  <si>
    <t>結婚_3</t>
    <rPh sb="0" eb="2">
      <t xml:space="preserve">ケッコｎ </t>
    </rPh>
    <phoneticPr fontId="1"/>
  </si>
  <si>
    <t>ショック、アナフィラキシー</t>
  </si>
  <si>
    <t>Grade 3</t>
  </si>
  <si>
    <t>https://www.mhlw.go.jp/www1/topics/kenko21_11/b5.html</t>
    <phoneticPr fontId="1"/>
  </si>
  <si>
    <t>多飲：&gt;60g</t>
    <rPh sb="0" eb="2">
      <t xml:space="preserve">タイｎ </t>
    </rPh>
    <phoneticPr fontId="1"/>
  </si>
  <si>
    <t>心疾患</t>
    <rPh sb="0" eb="1">
      <t>シンシ</t>
    </rPh>
    <phoneticPr fontId="1"/>
  </si>
  <si>
    <t>肝疾患</t>
    <rPh sb="0" eb="1">
      <t xml:space="preserve">カンシッカｎ </t>
    </rPh>
    <phoneticPr fontId="1"/>
  </si>
  <si>
    <t>腎疾患</t>
    <rPh sb="0" eb="1">
      <t xml:space="preserve">ジンシッカｎ </t>
    </rPh>
    <phoneticPr fontId="1"/>
  </si>
  <si>
    <t>他疾患</t>
    <rPh sb="0" eb="3">
      <t xml:space="preserve">タシッカｎ </t>
    </rPh>
    <phoneticPr fontId="1"/>
  </si>
  <si>
    <t>妊娠・出産・授乳</t>
    <rPh sb="0" eb="2">
      <t xml:space="preserve">ニンシン </t>
    </rPh>
    <rPh sb="3" eb="5">
      <t xml:space="preserve">シュッサｎ </t>
    </rPh>
    <rPh sb="6" eb="8">
      <t xml:space="preserve">ジュニュウ </t>
    </rPh>
    <phoneticPr fontId="1"/>
  </si>
  <si>
    <t>患者都合</t>
    <rPh sb="0" eb="4">
      <t xml:space="preserve">カンジャツゴウ </t>
    </rPh>
    <phoneticPr fontId="1"/>
  </si>
  <si>
    <t>発端者</t>
    <rPh sb="0" eb="3">
      <t xml:space="preserve">ホッタンシャ </t>
    </rPh>
    <phoneticPr fontId="1"/>
  </si>
  <si>
    <t>ピロリ菌</t>
    <phoneticPr fontId="1"/>
  </si>
  <si>
    <t>除菌療法時年齢</t>
    <rPh sb="0" eb="2">
      <t xml:space="preserve">ジョキｎ </t>
    </rPh>
    <rPh sb="2" eb="4">
      <t xml:space="preserve">リョウホウ </t>
    </rPh>
    <rPh sb="4" eb="5">
      <t xml:space="preserve">ジ </t>
    </rPh>
    <rPh sb="5" eb="7">
      <t xml:space="preserve">ネンレイ </t>
    </rPh>
    <phoneticPr fontId="1"/>
  </si>
  <si>
    <t>除菌成功の別</t>
    <rPh sb="0" eb="2">
      <t xml:space="preserve">ジョキンノ </t>
    </rPh>
    <rPh sb="2" eb="4">
      <t xml:space="preserve">セイコウ </t>
    </rPh>
    <rPh sb="5" eb="6">
      <t xml:space="preserve">ベツ </t>
    </rPh>
    <phoneticPr fontId="1"/>
  </si>
  <si>
    <t>性別</t>
    <rPh sb="0" eb="2">
      <t xml:space="preserve">セイベツ </t>
    </rPh>
    <phoneticPr fontId="1"/>
  </si>
  <si>
    <t>発端者血縁者</t>
    <rPh sb="0" eb="3">
      <t>ホッｔ</t>
    </rPh>
    <rPh sb="3" eb="6">
      <t xml:space="preserve">ケツエンシャ </t>
    </rPh>
    <phoneticPr fontId="1"/>
  </si>
  <si>
    <t>血縁者</t>
    <rPh sb="0" eb="3">
      <t>ケ</t>
    </rPh>
    <phoneticPr fontId="1"/>
  </si>
  <si>
    <t>発端者</t>
    <rPh sb="0" eb="3">
      <t>ホッｔ</t>
    </rPh>
    <phoneticPr fontId="1"/>
  </si>
  <si>
    <t>遺伝子</t>
    <rPh sb="0" eb="3">
      <t xml:space="preserve">イデンシ </t>
    </rPh>
    <phoneticPr fontId="1"/>
  </si>
  <si>
    <t>MLH1</t>
  </si>
  <si>
    <t>子宮全摘術理由</t>
    <phoneticPr fontId="1"/>
  </si>
  <si>
    <t>転院</t>
    <rPh sb="0" eb="2">
      <t xml:space="preserve">テンイｎ </t>
    </rPh>
    <phoneticPr fontId="1"/>
  </si>
  <si>
    <t>転帰情報</t>
    <rPh sb="0" eb="2">
      <t xml:space="preserve">テンキ </t>
    </rPh>
    <rPh sb="2" eb="4">
      <t xml:space="preserve">ジョウホウ </t>
    </rPh>
    <phoneticPr fontId="1"/>
  </si>
  <si>
    <t>転帰</t>
    <rPh sb="0" eb="2">
      <t xml:space="preserve">テンキ </t>
    </rPh>
    <phoneticPr fontId="1"/>
  </si>
  <si>
    <t>最終生存確認日</t>
    <rPh sb="0" eb="4">
      <t xml:space="preserve">サイシュウセイゾｎ </t>
    </rPh>
    <rPh sb="4" eb="7">
      <t xml:space="preserve">カクニンビ </t>
    </rPh>
    <phoneticPr fontId="1"/>
  </si>
  <si>
    <t>死亡年月日</t>
    <rPh sb="0" eb="5">
      <t>シボウ</t>
    </rPh>
    <phoneticPr fontId="1"/>
  </si>
  <si>
    <t>死亡</t>
    <rPh sb="0" eb="1">
      <t xml:space="preserve">シボウ </t>
    </rPh>
    <phoneticPr fontId="1"/>
  </si>
  <si>
    <t>通院中</t>
    <rPh sb="0" eb="3">
      <t>ツウイン</t>
    </rPh>
    <phoneticPr fontId="1"/>
  </si>
  <si>
    <t>日本酒：３合以上</t>
    <rPh sb="0" eb="3">
      <t xml:space="preserve">ニホンシュ </t>
    </rPh>
    <rPh sb="6" eb="8">
      <t xml:space="preserve">イジョウ </t>
    </rPh>
    <phoneticPr fontId="1"/>
  </si>
  <si>
    <t>ビール：1500mL以上</t>
    <rPh sb="10" eb="12">
      <t xml:space="preserve">イジョウ </t>
    </rPh>
    <phoneticPr fontId="1"/>
  </si>
  <si>
    <t>ハルトマン手術</t>
    <rPh sb="5" eb="7">
      <t xml:space="preserve">シュジュツ </t>
    </rPh>
    <phoneticPr fontId="1"/>
  </si>
  <si>
    <t>治療</t>
    <rPh sb="0" eb="2">
      <t xml:space="preserve">チリョウ </t>
    </rPh>
    <phoneticPr fontId="1"/>
  </si>
  <si>
    <t>S状結腸癌</t>
    <rPh sb="1" eb="4">
      <t>ジョウケ</t>
    </rPh>
    <rPh sb="4" eb="5">
      <t xml:space="preserve">ガｎ </t>
    </rPh>
    <phoneticPr fontId="1"/>
  </si>
  <si>
    <t>S状結腸切除術</t>
    <rPh sb="1" eb="4">
      <t>ジョウケ</t>
    </rPh>
    <rPh sb="4" eb="7">
      <t>セツジョ</t>
    </rPh>
    <phoneticPr fontId="1"/>
  </si>
  <si>
    <t>病名</t>
    <rPh sb="0" eb="2">
      <t xml:space="preserve">ビョウメイ </t>
    </rPh>
    <phoneticPr fontId="1"/>
  </si>
  <si>
    <t>子宮筋腫</t>
    <rPh sb="0" eb="2">
      <t>シキュウナイ</t>
    </rPh>
    <rPh sb="2" eb="4">
      <t xml:space="preserve">キンシュ </t>
    </rPh>
    <phoneticPr fontId="1"/>
  </si>
  <si>
    <t>卵巣嚢腫</t>
    <rPh sb="0" eb="4">
      <t>ランソウノ</t>
    </rPh>
    <phoneticPr fontId="1"/>
  </si>
  <si>
    <t>右付属器切除術</t>
    <rPh sb="0" eb="1">
      <t xml:space="preserve">ミギ </t>
    </rPh>
    <rPh sb="1" eb="7">
      <t>フゾクキセ</t>
    </rPh>
    <phoneticPr fontId="1"/>
  </si>
  <si>
    <t>卵巣癌</t>
    <rPh sb="0" eb="1">
      <t xml:space="preserve">ランソウガｎ </t>
    </rPh>
    <phoneticPr fontId="1"/>
  </si>
  <si>
    <t>生活習慣の改善</t>
    <rPh sb="0" eb="4">
      <t xml:space="preserve">セイカツシュウカｎ </t>
    </rPh>
    <rPh sb="5" eb="7">
      <t xml:space="preserve">カイゼｎ </t>
    </rPh>
    <phoneticPr fontId="1"/>
  </si>
  <si>
    <t>その他の疾患</t>
    <rPh sb="4" eb="6">
      <t xml:space="preserve">シッカｎ </t>
    </rPh>
    <phoneticPr fontId="1"/>
  </si>
  <si>
    <t>ピロリ菌感染</t>
    <rPh sb="4" eb="6">
      <t xml:space="preserve">カンセｎ </t>
    </rPh>
    <phoneticPr fontId="1"/>
  </si>
  <si>
    <t>疾患名</t>
    <rPh sb="0" eb="3">
      <t xml:space="preserve">シッカンメイ </t>
    </rPh>
    <phoneticPr fontId="1"/>
  </si>
  <si>
    <t>化学予防</t>
    <rPh sb="0" eb="4">
      <t xml:space="preserve">カガクヨボウ </t>
    </rPh>
    <phoneticPr fontId="1"/>
  </si>
  <si>
    <t>治療薬</t>
    <rPh sb="0" eb="3">
      <t xml:space="preserve">チリョウヤク </t>
    </rPh>
    <phoneticPr fontId="1"/>
  </si>
  <si>
    <t>バイアスピリン</t>
    <phoneticPr fontId="1"/>
  </si>
  <si>
    <t>内服開始時期</t>
    <rPh sb="0" eb="4">
      <t xml:space="preserve">ナイフクカイシ </t>
    </rPh>
    <rPh sb="4" eb="6">
      <t xml:space="preserve">ジキ </t>
    </rPh>
    <phoneticPr fontId="1"/>
  </si>
  <si>
    <t>内服終了時期</t>
    <rPh sb="0" eb="4">
      <t xml:space="preserve">ナイフクシュウリョウ </t>
    </rPh>
    <rPh sb="4" eb="6">
      <t xml:space="preserve">ジキ </t>
    </rPh>
    <phoneticPr fontId="1"/>
  </si>
  <si>
    <t>アムロジピン</t>
    <phoneticPr fontId="1"/>
  </si>
  <si>
    <t>診断時年齢（歳）</t>
    <rPh sb="0" eb="2">
      <t xml:space="preserve">シンダｎ </t>
    </rPh>
    <rPh sb="2" eb="3">
      <t xml:space="preserve">ジキ </t>
    </rPh>
    <rPh sb="3" eb="5">
      <t xml:space="preserve">ネンレイ </t>
    </rPh>
    <rPh sb="6" eb="7">
      <t xml:space="preserve">サイ </t>
    </rPh>
    <phoneticPr fontId="1"/>
  </si>
  <si>
    <t>ロスバスタチン</t>
    <phoneticPr fontId="1"/>
  </si>
  <si>
    <t>生死_転院</t>
    <rPh sb="0" eb="2">
      <t xml:space="preserve">セイシ </t>
    </rPh>
    <rPh sb="3" eb="5">
      <t xml:space="preserve">テンイｎ </t>
    </rPh>
    <phoneticPr fontId="1"/>
  </si>
  <si>
    <t>除菌</t>
    <rPh sb="0" eb="2">
      <t xml:space="preserve">ジョキｎ </t>
    </rPh>
    <phoneticPr fontId="1"/>
  </si>
  <si>
    <t>除菌成功時年齢</t>
    <rPh sb="0" eb="2">
      <t xml:space="preserve">ジョキンノ </t>
    </rPh>
    <rPh sb="2" eb="4">
      <t xml:space="preserve">セイコウ </t>
    </rPh>
    <rPh sb="4" eb="5">
      <t xml:space="preserve">ジ </t>
    </rPh>
    <rPh sb="5" eb="7">
      <t>ネ</t>
    </rPh>
    <phoneticPr fontId="1"/>
  </si>
  <si>
    <t>最終生存確認日（死亡日）</t>
    <rPh sb="0" eb="7">
      <t>サイシュウｓ</t>
    </rPh>
    <rPh sb="8" eb="11">
      <t xml:space="preserve">シボウビ </t>
    </rPh>
    <phoneticPr fontId="1"/>
  </si>
  <si>
    <t>日本酒３合以上</t>
    <rPh sb="0" eb="3">
      <t>ニホンｓ</t>
    </rPh>
    <rPh sb="5" eb="7">
      <t xml:space="preserve">イジョウ </t>
    </rPh>
    <phoneticPr fontId="1"/>
  </si>
  <si>
    <t>ビール1500mL以上</t>
    <rPh sb="9" eb="11">
      <t xml:space="preserve">イジョウ </t>
    </rPh>
    <phoneticPr fontId="1"/>
  </si>
  <si>
    <t>C56_卵巣</t>
  </si>
  <si>
    <t>治療内容</t>
    <rPh sb="0" eb="2">
      <t xml:space="preserve">チリョウ </t>
    </rPh>
    <rPh sb="2" eb="4">
      <t xml:space="preserve">ナイヨウ </t>
    </rPh>
    <phoneticPr fontId="1"/>
  </si>
  <si>
    <t>治療開始年齢</t>
    <rPh sb="0" eb="2">
      <t xml:space="preserve">チリョウ </t>
    </rPh>
    <rPh sb="2" eb="4">
      <t xml:space="preserve">カイシ </t>
    </rPh>
    <rPh sb="4" eb="6">
      <t xml:space="preserve">ネンレイ </t>
    </rPh>
    <phoneticPr fontId="1"/>
  </si>
  <si>
    <t>喫煙歴</t>
    <rPh sb="0" eb="1">
      <t>キツエ</t>
    </rPh>
    <phoneticPr fontId="1"/>
  </si>
  <si>
    <t>妊娠回数</t>
    <rPh sb="0" eb="2">
      <t xml:space="preserve">ニンシンレキ </t>
    </rPh>
    <rPh sb="2" eb="4">
      <t xml:space="preserve">カイスウ </t>
    </rPh>
    <phoneticPr fontId="1"/>
  </si>
  <si>
    <t>出産回数</t>
    <rPh sb="0" eb="2">
      <t xml:space="preserve">シュッサンレキ </t>
    </rPh>
    <rPh sb="2" eb="4">
      <t xml:space="preserve">カイスウ </t>
    </rPh>
    <phoneticPr fontId="1"/>
  </si>
  <si>
    <t>記載例：c.123G&gt;A</t>
    <rPh sb="0" eb="2">
      <t xml:space="preserve">キサイ </t>
    </rPh>
    <rPh sb="2" eb="3">
      <t xml:space="preserve">レイ </t>
    </rPh>
    <phoneticPr fontId="1"/>
  </si>
  <si>
    <t>八重洲　花子</t>
    <rPh sb="0" eb="3">
      <t xml:space="preserve">ヤエス </t>
    </rPh>
    <rPh sb="4" eb="6">
      <t xml:space="preserve">ハナコ </t>
    </rPh>
    <phoneticPr fontId="1"/>
  </si>
  <si>
    <t>機会飲酒</t>
    <rPh sb="0" eb="4">
      <t>キカイイ</t>
    </rPh>
    <phoneticPr fontId="1"/>
  </si>
  <si>
    <t>多飲：60g&gt;</t>
    <rPh sb="0" eb="2">
      <t xml:space="preserve">タイｎ </t>
    </rPh>
    <phoneticPr fontId="1"/>
  </si>
  <si>
    <t>飲めない</t>
    <rPh sb="0" eb="1">
      <t xml:space="preserve">ノメナイ </t>
    </rPh>
    <phoneticPr fontId="1"/>
  </si>
  <si>
    <t>飲まない</t>
    <phoneticPr fontId="1"/>
  </si>
  <si>
    <t>機会飲酒</t>
    <rPh sb="0" eb="4">
      <t>キカイ</t>
    </rPh>
    <phoneticPr fontId="1"/>
  </si>
  <si>
    <t>多飲あり</t>
    <rPh sb="0" eb="1">
      <t xml:space="preserve">タイｎ </t>
    </rPh>
    <phoneticPr fontId="1"/>
  </si>
  <si>
    <t>身長（cm）</t>
    <rPh sb="0" eb="2">
      <t xml:space="preserve">シンチョウ </t>
    </rPh>
    <phoneticPr fontId="1"/>
  </si>
  <si>
    <t>体重（kg）</t>
    <rPh sb="0" eb="2">
      <t xml:space="preserve">タイジュウ </t>
    </rPh>
    <phoneticPr fontId="1"/>
  </si>
  <si>
    <t>身長・体重</t>
    <rPh sb="0" eb="1">
      <t xml:space="preserve">シンチョウ </t>
    </rPh>
    <rPh sb="3" eb="5">
      <t xml:space="preserve">タイジュウウ </t>
    </rPh>
    <phoneticPr fontId="1"/>
  </si>
  <si>
    <t>BMI（kg/m2）</t>
    <phoneticPr fontId="1"/>
  </si>
  <si>
    <t>診断・治療歴</t>
    <rPh sb="0" eb="2">
      <t xml:space="preserve">シンダｎ </t>
    </rPh>
    <rPh sb="3" eb="4">
      <t xml:space="preserve">チリョウレキ </t>
    </rPh>
    <phoneticPr fontId="1"/>
  </si>
  <si>
    <t>十二指腸腺腫</t>
    <rPh sb="0" eb="4">
      <t>ジュウニｓ</t>
    </rPh>
    <rPh sb="4" eb="6">
      <t xml:space="preserve">センシュ </t>
    </rPh>
    <phoneticPr fontId="1"/>
  </si>
  <si>
    <t>皮脂腺腫</t>
    <rPh sb="0" eb="4">
      <t xml:space="preserve">ヒシセンシュ </t>
    </rPh>
    <phoneticPr fontId="1"/>
  </si>
  <si>
    <t>経過観察</t>
    <rPh sb="0" eb="4">
      <t>ケイカカン</t>
    </rPh>
    <phoneticPr fontId="1"/>
  </si>
  <si>
    <t>検尿</t>
    <rPh sb="0" eb="2">
      <t xml:space="preserve">ケンニョウ </t>
    </rPh>
    <phoneticPr fontId="1"/>
  </si>
  <si>
    <t>小腸内視鏡検査</t>
    <rPh sb="0" eb="5">
      <t>ショウチョウナ</t>
    </rPh>
    <rPh sb="5" eb="7">
      <t xml:space="preserve">ケンサ </t>
    </rPh>
    <phoneticPr fontId="1"/>
  </si>
  <si>
    <t>カプセル内視鏡検査</t>
    <rPh sb="4" eb="9">
      <t>ナイシキョウ</t>
    </rPh>
    <phoneticPr fontId="1"/>
  </si>
  <si>
    <t>超音波内視鏡検査</t>
    <rPh sb="0" eb="3">
      <t>チョウオン</t>
    </rPh>
    <rPh sb="3" eb="8">
      <t>ナイ</t>
    </rPh>
    <phoneticPr fontId="1"/>
  </si>
  <si>
    <t>ERCP</t>
    <phoneticPr fontId="1"/>
  </si>
  <si>
    <t>MRCP検査</t>
    <rPh sb="4" eb="6">
      <t xml:space="preserve">ケンサ </t>
    </rPh>
    <phoneticPr fontId="1"/>
  </si>
  <si>
    <t>病理診断方法</t>
    <rPh sb="0" eb="4">
      <t>ビョウリシ</t>
    </rPh>
    <rPh sb="4" eb="6">
      <t xml:space="preserve">ホウホウ </t>
    </rPh>
    <phoneticPr fontId="1"/>
  </si>
  <si>
    <t>病理診断方法</t>
    <rPh sb="0" eb="4">
      <t>ビョウリ</t>
    </rPh>
    <rPh sb="4" eb="6">
      <t xml:space="preserve">ホウホウ </t>
    </rPh>
    <phoneticPr fontId="1"/>
  </si>
  <si>
    <t>内視鏡生検</t>
    <rPh sb="0" eb="5">
      <t xml:space="preserve">ナイシキョウセイケｎ </t>
    </rPh>
    <phoneticPr fontId="1"/>
  </si>
  <si>
    <t>EUS-FNA</t>
    <phoneticPr fontId="1"/>
  </si>
  <si>
    <t>子宮内膜組織診</t>
    <rPh sb="0" eb="7">
      <t>シキュウナイ</t>
    </rPh>
    <phoneticPr fontId="1"/>
  </si>
  <si>
    <t>尿細胞診</t>
    <rPh sb="0" eb="4">
      <t xml:space="preserve">ニョウサイボウシｎ </t>
    </rPh>
    <phoneticPr fontId="1"/>
  </si>
  <si>
    <t>皮膚生検</t>
    <rPh sb="0" eb="2">
      <t xml:space="preserve">ヒフ </t>
    </rPh>
    <rPh sb="2" eb="4">
      <t xml:space="preserve">セイケｎ </t>
    </rPh>
    <phoneticPr fontId="1"/>
  </si>
  <si>
    <t>手術検体組織診</t>
    <rPh sb="0" eb="2">
      <t xml:space="preserve">シュジュツ </t>
    </rPh>
    <rPh sb="2" eb="4">
      <t xml:space="preserve">ケンタイ </t>
    </rPh>
    <rPh sb="4" eb="7">
      <t xml:space="preserve">ソシキシｎ </t>
    </rPh>
    <phoneticPr fontId="1"/>
  </si>
  <si>
    <t>登録医療機関</t>
    <rPh sb="0" eb="2">
      <t xml:space="preserve">トウロク </t>
    </rPh>
    <rPh sb="2" eb="6">
      <t>イリョウ</t>
    </rPh>
    <phoneticPr fontId="1"/>
  </si>
  <si>
    <t>担当医</t>
    <rPh sb="0" eb="3">
      <t xml:space="preserve">タントウイ </t>
    </rPh>
    <phoneticPr fontId="1"/>
  </si>
  <si>
    <t>生年月日</t>
    <rPh sb="0" eb="4">
      <t>セイネン</t>
    </rPh>
    <phoneticPr fontId="1"/>
  </si>
  <si>
    <t>登録年月日</t>
    <rPh sb="0" eb="1">
      <t xml:space="preserve">トウロク </t>
    </rPh>
    <rPh sb="2" eb="5">
      <t>ネンガ</t>
    </rPh>
    <phoneticPr fontId="1"/>
  </si>
  <si>
    <t>発端者血縁者</t>
    <rPh sb="0" eb="3">
      <t xml:space="preserve">ホッタンシャ </t>
    </rPh>
    <rPh sb="3" eb="6">
      <t>ケツエン</t>
    </rPh>
    <phoneticPr fontId="1"/>
  </si>
  <si>
    <t>coding DNA</t>
    <phoneticPr fontId="1"/>
  </si>
  <si>
    <t>protein</t>
    <phoneticPr fontId="1"/>
  </si>
  <si>
    <t>BRCA2</t>
    <phoneticPr fontId="1"/>
  </si>
  <si>
    <t>1) MMR遺伝子に2つ以上、2)MMR遺伝子以外にバリアントが同定された場合に記入</t>
    <rPh sb="6" eb="9">
      <t xml:space="preserve">イデンシ </t>
    </rPh>
    <rPh sb="20" eb="25">
      <t>イデンシ</t>
    </rPh>
    <rPh sb="32" eb="34">
      <t xml:space="preserve">ドウテイ </t>
    </rPh>
    <rPh sb="37" eb="39">
      <t xml:space="preserve">バアイ </t>
    </rPh>
    <rPh sb="40" eb="42">
      <t xml:space="preserve">キニュウ </t>
    </rPh>
    <phoneticPr fontId="1"/>
  </si>
  <si>
    <t>遺伝学的検査情報１</t>
    <rPh sb="0" eb="6">
      <t>イデンガク</t>
    </rPh>
    <rPh sb="6" eb="8">
      <t xml:space="preserve">ジョウホウ </t>
    </rPh>
    <phoneticPr fontId="1"/>
  </si>
  <si>
    <t>遺伝学的検査情報２</t>
    <phoneticPr fontId="1"/>
  </si>
  <si>
    <t>genome_epigenome</t>
    <phoneticPr fontId="1"/>
  </si>
  <si>
    <t>記載例：p.Leu41Ter, L41*, p.?</t>
    <rPh sb="0" eb="1">
      <t>ｋ</t>
    </rPh>
    <rPh sb="2" eb="3">
      <t xml:space="preserve">レイ </t>
    </rPh>
    <phoneticPr fontId="1"/>
  </si>
  <si>
    <t>del ex3_5</t>
    <phoneticPr fontId="1"/>
  </si>
  <si>
    <t>記載例：del ex1_2, dup ex3_5, epimutation</t>
    <rPh sb="0" eb="1">
      <t>ｋ</t>
    </rPh>
    <rPh sb="2" eb="3">
      <t xml:space="preserve">レイ </t>
    </rPh>
    <phoneticPr fontId="1"/>
  </si>
  <si>
    <t>生年月も許容する</t>
    <rPh sb="0" eb="3">
      <t xml:space="preserve">セイネンゲツ </t>
    </rPh>
    <rPh sb="4" eb="6">
      <t xml:space="preserve">キョヨウスル </t>
    </rPh>
    <phoneticPr fontId="1"/>
  </si>
  <si>
    <t>カルテ番号</t>
    <rPh sb="3" eb="4">
      <t xml:space="preserve">トクメイカ </t>
    </rPh>
    <phoneticPr fontId="1"/>
  </si>
  <si>
    <t>匿名化IDも許容する</t>
    <rPh sb="0" eb="3">
      <t xml:space="preserve">トクメイカ </t>
    </rPh>
    <rPh sb="6" eb="8">
      <t xml:space="preserve">キョヨウスル </t>
    </rPh>
    <phoneticPr fontId="1"/>
  </si>
  <si>
    <t>1) LS関連腫瘍(前がん病変を含む), 2) その他の腫瘍性病変, 3) 手術を伴う疾患について記載</t>
    <rPh sb="5" eb="7">
      <t xml:space="preserve">カンレンシュヨウ </t>
    </rPh>
    <rPh sb="7" eb="9">
      <t xml:space="preserve">シュヨウ </t>
    </rPh>
    <rPh sb="10" eb="11">
      <t>ゼンガンビョウ</t>
    </rPh>
    <rPh sb="16" eb="17">
      <t xml:space="preserve">フクム </t>
    </rPh>
    <rPh sb="28" eb="33">
      <t>シュヨウセイ</t>
    </rPh>
    <rPh sb="38" eb="40">
      <t xml:space="preserve">シュジュツ </t>
    </rPh>
    <rPh sb="41" eb="42">
      <t xml:space="preserve">トモナウ </t>
    </rPh>
    <rPh sb="43" eb="45">
      <t xml:space="preserve">シッカｎ </t>
    </rPh>
    <rPh sb="49" eb="51">
      <t xml:space="preserve">キサイ </t>
    </rPh>
    <phoneticPr fontId="1"/>
  </si>
  <si>
    <t>自動計算</t>
    <rPh sb="0" eb="4">
      <t xml:space="preserve">ジドウケイサｎ </t>
    </rPh>
    <phoneticPr fontId="1"/>
  </si>
  <si>
    <t>BMIは自動計算</t>
    <rPh sb="4" eb="8">
      <t>ジドウ</t>
    </rPh>
    <phoneticPr fontId="1"/>
  </si>
  <si>
    <t>カルテ番号</t>
    <phoneticPr fontId="1"/>
  </si>
  <si>
    <t>転帰情報（後方視的）</t>
    <rPh sb="0" eb="2">
      <t xml:space="preserve">テンキ </t>
    </rPh>
    <rPh sb="2" eb="4">
      <t xml:space="preserve">ジョウホウ </t>
    </rPh>
    <rPh sb="5" eb="9">
      <t>コウホウｓ</t>
    </rPh>
    <phoneticPr fontId="1"/>
  </si>
  <si>
    <t>隅田川病院</t>
    <rPh sb="0" eb="3">
      <t>スミダガ</t>
    </rPh>
    <rPh sb="3" eb="5">
      <t xml:space="preserve">ビョウイｎ </t>
    </rPh>
    <phoneticPr fontId="1"/>
  </si>
  <si>
    <t>登録時年齢（16歳以上）</t>
    <rPh sb="0" eb="3">
      <t xml:space="preserve">トウロクジ </t>
    </rPh>
    <rPh sb="3" eb="5">
      <t xml:space="preserve">ネンレイ </t>
    </rPh>
    <rPh sb="8" eb="9">
      <t xml:space="preserve">サイ </t>
    </rPh>
    <rPh sb="9" eb="11">
      <t xml:space="preserve">イジョウ </t>
    </rPh>
    <phoneticPr fontId="1"/>
  </si>
  <si>
    <t>pathogenicityに関わらず記載</t>
    <rPh sb="14" eb="15">
      <t xml:space="preserve">カカワラズ </t>
    </rPh>
    <rPh sb="18" eb="20">
      <t xml:space="preserve">キサイ </t>
    </rPh>
    <phoneticPr fontId="1"/>
  </si>
  <si>
    <t>父</t>
    <rPh sb="0" eb="1">
      <t xml:space="preserve">チチ </t>
    </rPh>
    <phoneticPr fontId="1"/>
  </si>
  <si>
    <t>母</t>
    <rPh sb="0" eb="1">
      <t xml:space="preserve">ハハ </t>
    </rPh>
    <phoneticPr fontId="1"/>
  </si>
  <si>
    <t>関係</t>
    <rPh sb="0" eb="2">
      <t xml:space="preserve">カンケイ </t>
    </rPh>
    <phoneticPr fontId="1"/>
  </si>
  <si>
    <t>F</t>
    <phoneticPr fontId="1"/>
  </si>
  <si>
    <t>家系情報</t>
    <rPh sb="0" eb="4">
      <t>カ</t>
    </rPh>
    <phoneticPr fontId="1"/>
  </si>
  <si>
    <t>父方祖父</t>
    <rPh sb="0" eb="2">
      <t>チチ</t>
    </rPh>
    <rPh sb="2" eb="4">
      <t xml:space="preserve">ソフ </t>
    </rPh>
    <phoneticPr fontId="1"/>
  </si>
  <si>
    <t>父方祖母</t>
    <rPh sb="0" eb="2">
      <t>チチ</t>
    </rPh>
    <rPh sb="2" eb="4">
      <t xml:space="preserve">ソボ </t>
    </rPh>
    <phoneticPr fontId="1"/>
  </si>
  <si>
    <t>母方祖父</t>
    <rPh sb="0" eb="2">
      <t>ハハカ</t>
    </rPh>
    <rPh sb="2" eb="4">
      <t>ソｈ</t>
    </rPh>
    <phoneticPr fontId="1"/>
  </si>
  <si>
    <t>母方祖母</t>
    <rPh sb="0" eb="2">
      <t>ハハ</t>
    </rPh>
    <rPh sb="2" eb="4">
      <t xml:space="preserve">ソボ </t>
    </rPh>
    <phoneticPr fontId="1"/>
  </si>
  <si>
    <t>例</t>
    <rPh sb="0" eb="1">
      <t xml:space="preserve">レイ </t>
    </rPh>
    <phoneticPr fontId="1"/>
  </si>
  <si>
    <t>生</t>
    <rPh sb="0" eb="1">
      <t xml:space="preserve">セイ </t>
    </rPh>
    <phoneticPr fontId="1"/>
  </si>
  <si>
    <t>父同胞１</t>
    <rPh sb="0" eb="1">
      <t>チチ</t>
    </rPh>
    <rPh sb="1" eb="3">
      <t xml:space="preserve">ドウホウ </t>
    </rPh>
    <phoneticPr fontId="1"/>
  </si>
  <si>
    <t>父同胞２</t>
    <rPh sb="0" eb="1">
      <t>チチ</t>
    </rPh>
    <rPh sb="1" eb="3">
      <t xml:space="preserve">ドウホウ </t>
    </rPh>
    <phoneticPr fontId="1"/>
  </si>
  <si>
    <t>父同胞３</t>
    <rPh sb="0" eb="1">
      <t>チチ</t>
    </rPh>
    <rPh sb="1" eb="3">
      <t xml:space="preserve">ドウホウ </t>
    </rPh>
    <phoneticPr fontId="1"/>
  </si>
  <si>
    <t>父同胞４</t>
    <rPh sb="0" eb="1">
      <t>チチ</t>
    </rPh>
    <rPh sb="1" eb="3">
      <t xml:space="preserve">ドウホウ </t>
    </rPh>
    <phoneticPr fontId="1"/>
  </si>
  <si>
    <t>母同胞１</t>
    <rPh sb="0" eb="1">
      <t xml:space="preserve">ハハ </t>
    </rPh>
    <rPh sb="1" eb="3">
      <t xml:space="preserve">ドウホウ </t>
    </rPh>
    <phoneticPr fontId="1"/>
  </si>
  <si>
    <t>母同胞２</t>
    <rPh sb="0" eb="1">
      <t xml:space="preserve">ハハ </t>
    </rPh>
    <rPh sb="1" eb="3">
      <t xml:space="preserve">ドウホウ </t>
    </rPh>
    <phoneticPr fontId="1"/>
  </si>
  <si>
    <t>母同胞３</t>
    <rPh sb="0" eb="1">
      <t xml:space="preserve">ハハ </t>
    </rPh>
    <rPh sb="1" eb="3">
      <t xml:space="preserve">ドウホウ </t>
    </rPh>
    <phoneticPr fontId="1"/>
  </si>
  <si>
    <t>母同胞４</t>
    <rPh sb="0" eb="1">
      <t xml:space="preserve">ハハ </t>
    </rPh>
    <rPh sb="1" eb="3">
      <t xml:space="preserve">ドウホウ </t>
    </rPh>
    <phoneticPr fontId="1"/>
  </si>
  <si>
    <t>子1</t>
    <rPh sb="0" eb="1">
      <t xml:space="preserve">コ </t>
    </rPh>
    <phoneticPr fontId="1"/>
  </si>
  <si>
    <t>子2</t>
    <rPh sb="0" eb="1">
      <t xml:space="preserve">コ </t>
    </rPh>
    <phoneticPr fontId="1"/>
  </si>
  <si>
    <t>子3</t>
    <rPh sb="0" eb="1">
      <t xml:space="preserve">コ </t>
    </rPh>
    <phoneticPr fontId="1"/>
  </si>
  <si>
    <t>子4</t>
    <rPh sb="0" eb="1">
      <t xml:space="preserve">コ </t>
    </rPh>
    <phoneticPr fontId="1"/>
  </si>
  <si>
    <t>子5</t>
    <rPh sb="0" eb="1">
      <t xml:space="preserve">コ </t>
    </rPh>
    <phoneticPr fontId="1"/>
  </si>
  <si>
    <t>部位１</t>
    <rPh sb="0" eb="2">
      <t xml:space="preserve">ブイ </t>
    </rPh>
    <phoneticPr fontId="1"/>
  </si>
  <si>
    <t>部位１（年齢）</t>
    <rPh sb="0" eb="1">
      <t xml:space="preserve">ブイ </t>
    </rPh>
    <rPh sb="4" eb="6">
      <t>ｎ</t>
    </rPh>
    <phoneticPr fontId="1"/>
  </si>
  <si>
    <t>部位２</t>
    <rPh sb="0" eb="2">
      <t xml:space="preserve">ブイ </t>
    </rPh>
    <phoneticPr fontId="1"/>
  </si>
  <si>
    <t>部位２（年齢）</t>
    <rPh sb="0" eb="1">
      <t xml:space="preserve">ブイ </t>
    </rPh>
    <rPh sb="4" eb="6">
      <t>ｎ</t>
    </rPh>
    <phoneticPr fontId="1"/>
  </si>
  <si>
    <t>部位３</t>
    <rPh sb="0" eb="2">
      <t xml:space="preserve">ブイ </t>
    </rPh>
    <phoneticPr fontId="1"/>
  </si>
  <si>
    <t>部位３（年齢）</t>
    <rPh sb="0" eb="1">
      <t xml:space="preserve">ブイ </t>
    </rPh>
    <rPh sb="4" eb="6">
      <t>ｎ</t>
    </rPh>
    <phoneticPr fontId="1"/>
  </si>
  <si>
    <t>部位４</t>
    <rPh sb="0" eb="2">
      <t xml:space="preserve">ブイ </t>
    </rPh>
    <phoneticPr fontId="1"/>
  </si>
  <si>
    <t>部位４（年齢）</t>
    <rPh sb="0" eb="1">
      <t xml:space="preserve">ブイ </t>
    </rPh>
    <rPh sb="4" eb="6">
      <t>ｎ</t>
    </rPh>
    <phoneticPr fontId="1"/>
  </si>
  <si>
    <t>部位５</t>
    <rPh sb="0" eb="2">
      <t xml:space="preserve">ブイ </t>
    </rPh>
    <phoneticPr fontId="1"/>
  </si>
  <si>
    <t>部位５（年齢）</t>
    <rPh sb="0" eb="1">
      <t xml:space="preserve">ブイ </t>
    </rPh>
    <rPh sb="4" eb="6">
      <t>ｎ</t>
    </rPh>
    <phoneticPr fontId="1"/>
  </si>
  <si>
    <t>部位６</t>
    <rPh sb="0" eb="2">
      <t xml:space="preserve">ブイ </t>
    </rPh>
    <phoneticPr fontId="1"/>
  </si>
  <si>
    <t>部位６（年齢）</t>
    <rPh sb="0" eb="1">
      <t xml:space="preserve">ブイ </t>
    </rPh>
    <rPh sb="4" eb="6">
      <t>ｎ</t>
    </rPh>
    <phoneticPr fontId="1"/>
  </si>
  <si>
    <t>部位７</t>
    <rPh sb="0" eb="2">
      <t xml:space="preserve">ブイ </t>
    </rPh>
    <phoneticPr fontId="1"/>
  </si>
  <si>
    <t>部位７（年齢）</t>
    <rPh sb="0" eb="1">
      <t xml:space="preserve">ブイ </t>
    </rPh>
    <rPh sb="4" eb="6">
      <t>ｎ</t>
    </rPh>
    <phoneticPr fontId="1"/>
  </si>
  <si>
    <t>部位８</t>
    <rPh sb="0" eb="2">
      <t xml:space="preserve">ブイ </t>
    </rPh>
    <phoneticPr fontId="1"/>
  </si>
  <si>
    <t>部位８（年齢）</t>
    <rPh sb="0" eb="1">
      <t xml:space="preserve">ブイ </t>
    </rPh>
    <rPh sb="4" eb="6">
      <t>ｎ</t>
    </rPh>
    <phoneticPr fontId="1"/>
  </si>
  <si>
    <t>部位９</t>
    <rPh sb="0" eb="2">
      <t xml:space="preserve">ブイ </t>
    </rPh>
    <phoneticPr fontId="1"/>
  </si>
  <si>
    <t>部位９（年齢）</t>
    <rPh sb="0" eb="1">
      <t xml:space="preserve">ブイ </t>
    </rPh>
    <rPh sb="4" eb="6">
      <t>ｎ</t>
    </rPh>
    <phoneticPr fontId="1"/>
  </si>
  <si>
    <t>部位１０</t>
    <rPh sb="0" eb="2">
      <t xml:space="preserve">ブイ </t>
    </rPh>
    <phoneticPr fontId="1"/>
  </si>
  <si>
    <t>部位１０（年齢）</t>
    <rPh sb="0" eb="1">
      <t xml:space="preserve">ブイ </t>
    </rPh>
    <rPh sb="5" eb="7">
      <t>ｎ</t>
    </rPh>
    <phoneticPr fontId="1"/>
  </si>
  <si>
    <t>子宮内膜癌</t>
    <rPh sb="0" eb="5">
      <t>シｋｙ</t>
    </rPh>
    <phoneticPr fontId="1"/>
  </si>
  <si>
    <t>上行結腸癌</t>
    <rPh sb="0" eb="4">
      <t>ジョウコウ</t>
    </rPh>
    <rPh sb="4" eb="5">
      <t xml:space="preserve">ガｎ </t>
    </rPh>
    <phoneticPr fontId="1"/>
  </si>
  <si>
    <t>右尿管癌</t>
    <rPh sb="0" eb="1">
      <t>➾</t>
    </rPh>
    <rPh sb="1" eb="4">
      <t xml:space="preserve">ニョウカンガｎ </t>
    </rPh>
    <phoneticPr fontId="1"/>
  </si>
  <si>
    <t>転帰（生・死・不明）</t>
    <rPh sb="0" eb="2">
      <t xml:space="preserve">テンキ </t>
    </rPh>
    <rPh sb="3" eb="6">
      <t xml:space="preserve">セイシ </t>
    </rPh>
    <rPh sb="7" eb="9">
      <t xml:space="preserve">フメイ </t>
    </rPh>
    <phoneticPr fontId="1"/>
  </si>
  <si>
    <t>異常所見なし</t>
    <rPh sb="0" eb="2">
      <t xml:space="preserve">イジョウナシ </t>
    </rPh>
    <rPh sb="2" eb="4">
      <t xml:space="preserve">ショケｎ </t>
    </rPh>
    <phoneticPr fontId="1"/>
  </si>
  <si>
    <t>C17_小腸</t>
  </si>
  <si>
    <t>C43_皮膚</t>
  </si>
  <si>
    <t>後方視的観察研究</t>
    <rPh sb="0" eb="8">
      <t>コウホウシテｋ</t>
    </rPh>
    <phoneticPr fontId="1"/>
  </si>
  <si>
    <t>前方視的観察研究</t>
    <rPh sb="0" eb="2">
      <t>マエム</t>
    </rPh>
    <phoneticPr fontId="1"/>
  </si>
  <si>
    <t>参加</t>
    <rPh sb="0" eb="2">
      <t xml:space="preserve">サンカ </t>
    </rPh>
    <phoneticPr fontId="1"/>
  </si>
  <si>
    <t>参加研究</t>
    <rPh sb="0" eb="2">
      <t xml:space="preserve">サンカ </t>
    </rPh>
    <rPh sb="2" eb="4">
      <t xml:space="preserve">ケンキュウ </t>
    </rPh>
    <phoneticPr fontId="1"/>
  </si>
  <si>
    <t>参加不参加</t>
    <rPh sb="0" eb="2">
      <t xml:space="preserve">サンカ </t>
    </rPh>
    <rPh sb="2" eb="5">
      <t xml:space="preserve">フサンカ </t>
    </rPh>
    <phoneticPr fontId="1"/>
  </si>
  <si>
    <t>不参加</t>
    <rPh sb="0" eb="3">
      <t>フ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</si>
</sst>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2"/>
      <color theme="1"/>
      <name val="メイリオ"/>
      <family val="2"/>
      <charset val="128"/>
    </font>
    <font>
      <sz val="12"/>
      <color theme="1"/>
      <name val="メイリオ"/>
      <family val="2"/>
      <charset val="128"/>
    </font>
    <font>
      <sz val="12"/>
      <color rgb="FF000000"/>
      <name val="メイリオ"/>
      <family val="2"/>
      <charset val="128"/>
    </font>
    <font>
      <sz val="12"/>
      <name val="メイリオ"/>
      <family val="2"/>
      <charset val="128"/>
    </font>
    <font>
      <i/>
      <sz val="12"/>
      <color theme="1"/>
      <name val="メイリオ"/>
      <family val="2"/>
      <charset val="128"/>
    </font>
    <font>
      <sz val="12"/>
      <color theme="0" tint="-0.249977111117893"/>
      <name val="メイリオ"/>
      <family val="2"/>
      <charset val="128"/>
    </font>
    <font>
      <b/>
      <sz val="12"/>
      <color rgb="FF000000"/>
      <name val="メイリオ"/>
      <family val="2"/>
      <charset val="128"/>
    </font>
    <font>
      <b/>
      <sz val="12"/>
      <name val="メイリオ"/>
      <family val="2"/>
      <charset val="128"/>
    </font>
    <font>
      <i/>
      <sz val="12"/>
      <name val="メイリオ"/>
      <family val="2"/>
      <charset val="128"/>
    </font>
    <font>
      <b/>
      <sz val="12"/>
      <color theme="0" tint="-0.499984740745262"/>
      <name val="メイリオ"/>
      <family val="2"/>
      <charset val="128"/>
    </font>
    <font>
      <sz val="12"/>
      <color theme="0" tint="-0.499984740745262"/>
      <name val="メイリオ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5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3" fillId="0" borderId="0" xfId="0" applyFont="1">
      <alignment vertical="center"/>
    </xf>
    <xf numFmtId="0" fontId="4" fillId="0" borderId="17" xfId="0" applyFont="1" applyBorder="1">
      <alignment vertical="center"/>
    </xf>
    <xf numFmtId="0" fontId="4" fillId="0" borderId="20" xfId="0" applyFont="1" applyBorder="1">
      <alignment vertical="center"/>
    </xf>
    <xf numFmtId="14" fontId="4" fillId="0" borderId="0" xfId="0" applyNumberFormat="1" applyFont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0" borderId="12" xfId="0" applyFont="1" applyBorder="1">
      <alignment vertical="center"/>
    </xf>
    <xf numFmtId="14" fontId="4" fillId="0" borderId="12" xfId="0" applyNumberFormat="1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9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14" fontId="4" fillId="0" borderId="12" xfId="0" applyNumberFormat="1" applyFont="1" applyBorder="1" applyAlignment="1">
      <alignment horizontal="left" vertical="center" wrapText="1"/>
    </xf>
    <xf numFmtId="14" fontId="4" fillId="0" borderId="19" xfId="0" applyNumberFormat="1" applyFont="1" applyBorder="1" applyAlignment="1">
      <alignment horizontal="left" vertical="center" wrapText="1"/>
    </xf>
    <xf numFmtId="0" fontId="3" fillId="2" borderId="21" xfId="0" applyFont="1" applyFill="1" applyBorder="1">
      <alignment vertical="center"/>
    </xf>
    <xf numFmtId="0" fontId="4" fillId="0" borderId="12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left" vertical="center" wrapText="1"/>
    </xf>
    <xf numFmtId="49" fontId="4" fillId="0" borderId="0" xfId="0" applyNumberFormat="1" applyFont="1">
      <alignment vertical="center"/>
    </xf>
    <xf numFmtId="49" fontId="4" fillId="0" borderId="12" xfId="0" applyNumberFormat="1" applyFont="1" applyBorder="1" applyAlignment="1">
      <alignment horizontal="left" vertical="center" wrapText="1"/>
    </xf>
    <xf numFmtId="49" fontId="4" fillId="0" borderId="19" xfId="0" applyNumberFormat="1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/>
    </xf>
    <xf numFmtId="0" fontId="3" fillId="2" borderId="22" xfId="0" applyFont="1" applyFill="1" applyBorder="1">
      <alignment vertical="center"/>
    </xf>
    <xf numFmtId="49" fontId="3" fillId="2" borderId="22" xfId="0" applyNumberFormat="1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 wrapText="1"/>
    </xf>
    <xf numFmtId="0" fontId="3" fillId="2" borderId="23" xfId="0" applyFont="1" applyFill="1" applyBorder="1">
      <alignment vertical="center"/>
    </xf>
    <xf numFmtId="14" fontId="4" fillId="0" borderId="25" xfId="0" applyNumberFormat="1" applyFont="1" applyBorder="1" applyAlignment="1">
      <alignment horizontal="left" vertical="center"/>
    </xf>
    <xf numFmtId="14" fontId="4" fillId="0" borderId="26" xfId="0" applyNumberFormat="1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14" fontId="4" fillId="0" borderId="24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3" fillId="2" borderId="17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3" fillId="2" borderId="42" xfId="0" applyFont="1" applyFill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0" fontId="3" fillId="2" borderId="36" xfId="0" applyFont="1" applyFill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4" fillId="0" borderId="45" xfId="0" applyFont="1" applyBorder="1" applyAlignment="1">
      <alignment horizontal="left" vertical="center"/>
    </xf>
    <xf numFmtId="0" fontId="3" fillId="2" borderId="35" xfId="0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left" vertical="center"/>
    </xf>
    <xf numFmtId="0" fontId="3" fillId="2" borderId="26" xfId="0" applyFont="1" applyFill="1" applyBorder="1" applyAlignment="1">
      <alignment horizontal="left" vertical="center"/>
    </xf>
    <xf numFmtId="0" fontId="3" fillId="2" borderId="27" xfId="0" applyFont="1" applyFill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14" fontId="4" fillId="0" borderId="31" xfId="0" applyNumberFormat="1" applyFont="1" applyBorder="1" applyAlignment="1">
      <alignment horizontal="left" vertical="center"/>
    </xf>
    <xf numFmtId="0" fontId="4" fillId="0" borderId="39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4" fillId="0" borderId="31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32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33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3" fillId="2" borderId="28" xfId="0" applyFont="1" applyFill="1" applyBorder="1" applyAlignment="1">
      <alignment horizontal="left" vertical="center"/>
    </xf>
    <xf numFmtId="0" fontId="3" fillId="2" borderId="30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left" vertical="center"/>
    </xf>
    <xf numFmtId="0" fontId="3" fillId="2" borderId="29" xfId="0" applyFont="1" applyFill="1" applyBorder="1" applyAlignment="1">
      <alignment horizontal="left" vertical="center"/>
    </xf>
    <xf numFmtId="0" fontId="3" fillId="2" borderId="34" xfId="0" applyFont="1" applyFill="1" applyBorder="1" applyAlignment="1">
      <alignment horizontal="left" vertical="center"/>
    </xf>
    <xf numFmtId="0" fontId="4" fillId="2" borderId="46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47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4" fillId="2" borderId="48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3" fillId="2" borderId="47" xfId="0" applyFont="1" applyFill="1" applyBorder="1">
      <alignment vertical="center"/>
    </xf>
    <xf numFmtId="0" fontId="3" fillId="2" borderId="9" xfId="0" applyFont="1" applyFill="1" applyBorder="1">
      <alignment vertical="center"/>
    </xf>
    <xf numFmtId="0" fontId="3" fillId="2" borderId="10" xfId="0" applyFont="1" applyFill="1" applyBorder="1">
      <alignment vertical="center"/>
    </xf>
    <xf numFmtId="0" fontId="7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4" fillId="0" borderId="16" xfId="0" applyFont="1" applyBorder="1">
      <alignment vertical="center"/>
    </xf>
    <xf numFmtId="0" fontId="4" fillId="0" borderId="18" xfId="0" applyFont="1" applyBorder="1">
      <alignment vertical="center"/>
    </xf>
    <xf numFmtId="0" fontId="6" fillId="0" borderId="13" xfId="0" applyFont="1" applyBorder="1">
      <alignment vertical="center"/>
    </xf>
    <xf numFmtId="14" fontId="6" fillId="0" borderId="14" xfId="0" applyNumberFormat="1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 wrapText="1"/>
    </xf>
    <xf numFmtId="0" fontId="6" fillId="0" borderId="14" xfId="0" applyFont="1" applyBorder="1">
      <alignment vertical="center"/>
    </xf>
    <xf numFmtId="14" fontId="6" fillId="0" borderId="14" xfId="0" applyNumberFormat="1" applyFont="1" applyBorder="1" applyAlignment="1">
      <alignment horizontal="left" vertical="center" wrapText="1"/>
    </xf>
    <xf numFmtId="49" fontId="6" fillId="0" borderId="14" xfId="0" applyNumberFormat="1" applyFont="1" applyBorder="1" applyAlignment="1">
      <alignment horizontal="left" vertical="center" wrapText="1"/>
    </xf>
    <xf numFmtId="0" fontId="6" fillId="0" borderId="15" xfId="0" applyFont="1" applyBorder="1">
      <alignment vertical="center"/>
    </xf>
    <xf numFmtId="0" fontId="6" fillId="0" borderId="16" xfId="0" applyFont="1" applyBorder="1">
      <alignment vertical="center"/>
    </xf>
    <xf numFmtId="14" fontId="6" fillId="0" borderId="12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2" xfId="0" applyFont="1" applyBorder="1">
      <alignment vertical="center"/>
    </xf>
    <xf numFmtId="0" fontId="6" fillId="0" borderId="12" xfId="0" applyFont="1" applyBorder="1" applyAlignment="1">
      <alignment horizontal="left" vertical="center" wrapText="1"/>
    </xf>
    <xf numFmtId="14" fontId="6" fillId="0" borderId="12" xfId="0" applyNumberFormat="1" applyFont="1" applyBorder="1" applyAlignment="1">
      <alignment horizontal="left" vertical="center" wrapText="1"/>
    </xf>
    <xf numFmtId="49" fontId="6" fillId="0" borderId="12" xfId="0" applyNumberFormat="1" applyFont="1" applyBorder="1" applyAlignment="1">
      <alignment horizontal="left" vertical="center" wrapText="1"/>
    </xf>
    <xf numFmtId="49" fontId="6" fillId="0" borderId="12" xfId="0" applyNumberFormat="1" applyFont="1" applyBorder="1">
      <alignment vertical="center"/>
    </xf>
    <xf numFmtId="0" fontId="6" fillId="0" borderId="17" xfId="0" applyFont="1" applyBorder="1">
      <alignment vertical="center"/>
    </xf>
    <xf numFmtId="0" fontId="5" fillId="0" borderId="12" xfId="0" applyFont="1" applyBorder="1" applyAlignment="1">
      <alignment horizontal="left" vertical="center"/>
    </xf>
    <xf numFmtId="0" fontId="3" fillId="2" borderId="13" xfId="0" applyFont="1" applyFill="1" applyBorder="1" applyAlignment="1">
      <alignment horizontal="left" vertical="center"/>
    </xf>
    <xf numFmtId="0" fontId="3" fillId="2" borderId="16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4" fillId="2" borderId="20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3" fillId="2" borderId="50" xfId="0" applyFont="1" applyFill="1" applyBorder="1" applyAlignment="1">
      <alignment horizontal="left" vertical="center"/>
    </xf>
    <xf numFmtId="0" fontId="9" fillId="2" borderId="14" xfId="0" applyFont="1" applyFill="1" applyBorder="1" applyAlignment="1">
      <alignment horizontal="left" vertical="center"/>
    </xf>
    <xf numFmtId="0" fontId="4" fillId="0" borderId="49" xfId="0" applyFont="1" applyBorder="1" applyAlignment="1">
      <alignment horizontal="left" vertical="center"/>
    </xf>
    <xf numFmtId="0" fontId="4" fillId="2" borderId="51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6" fillId="0" borderId="19" xfId="0" applyFont="1" applyBorder="1" applyAlignment="1">
      <alignment horizontal="left" vertical="center" wrapText="1"/>
    </xf>
    <xf numFmtId="0" fontId="6" fillId="0" borderId="19" xfId="0" applyFont="1" applyBorder="1">
      <alignment vertical="center"/>
    </xf>
    <xf numFmtId="14" fontId="6" fillId="0" borderId="19" xfId="0" applyNumberFormat="1" applyFont="1" applyBorder="1" applyAlignment="1">
      <alignment horizontal="left" vertical="center" wrapText="1"/>
    </xf>
    <xf numFmtId="0" fontId="10" fillId="2" borderId="21" xfId="0" applyFont="1" applyFill="1" applyBorder="1" applyAlignment="1">
      <alignment horizontal="left" vertical="center"/>
    </xf>
    <xf numFmtId="0" fontId="6" fillId="2" borderId="15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2" borderId="48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10" fillId="2" borderId="46" xfId="0" applyFont="1" applyFill="1" applyBorder="1" applyAlignment="1">
      <alignment horizontal="left" vertical="center"/>
    </xf>
    <xf numFmtId="0" fontId="6" fillId="2" borderId="20" xfId="0" applyFont="1" applyFill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14" fontId="4" fillId="2" borderId="4" xfId="0" applyNumberFormat="1" applyFont="1" applyFill="1" applyBorder="1" applyAlignment="1">
      <alignment horizontal="left" vertical="center"/>
    </xf>
    <xf numFmtId="0" fontId="6" fillId="2" borderId="52" xfId="0" applyFont="1" applyFill="1" applyBorder="1" applyAlignment="1">
      <alignment horizontal="left" vertical="center"/>
    </xf>
    <xf numFmtId="0" fontId="6" fillId="0" borderId="53" xfId="0" applyFont="1" applyBorder="1" applyAlignment="1">
      <alignment horizontal="left" vertical="center"/>
    </xf>
    <xf numFmtId="0" fontId="10" fillId="2" borderId="49" xfId="0" applyFont="1" applyFill="1" applyBorder="1" applyAlignment="1">
      <alignment horizontal="left" vertical="center"/>
    </xf>
    <xf numFmtId="2" fontId="4" fillId="3" borderId="20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14" fontId="4" fillId="0" borderId="54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3" fillId="2" borderId="54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6" fillId="2" borderId="12" xfId="0" applyFont="1" applyFill="1" applyBorder="1" applyAlignment="1">
      <alignment horizontal="left" vertical="center"/>
    </xf>
    <xf numFmtId="14" fontId="6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3" fillId="3" borderId="12" xfId="0" applyFont="1" applyFill="1" applyBorder="1" applyAlignment="1">
      <alignment horizontal="left" vertical="center"/>
    </xf>
    <xf numFmtId="0" fontId="13" fillId="3" borderId="44" xfId="0" applyFont="1" applyFill="1" applyBorder="1" applyAlignment="1">
      <alignment horizontal="left" vertical="center"/>
    </xf>
    <xf numFmtId="0" fontId="0" fillId="0" borderId="44" xfId="0" applyBorder="1">
      <alignment vertical="center"/>
    </xf>
    <xf numFmtId="0" fontId="13" fillId="3" borderId="14" xfId="0" applyFont="1" applyFill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0" fillId="0" borderId="14" xfId="0" applyBorder="1">
      <alignment vertical="center"/>
    </xf>
    <xf numFmtId="0" fontId="4" fillId="0" borderId="15" xfId="0" applyFont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0" fillId="0" borderId="19" xfId="0" applyBorder="1">
      <alignment vertical="center"/>
    </xf>
    <xf numFmtId="0" fontId="13" fillId="3" borderId="25" xfId="0" applyFont="1" applyFill="1" applyBorder="1" applyAlignment="1">
      <alignment horizontal="left" vertical="center"/>
    </xf>
    <xf numFmtId="0" fontId="0" fillId="0" borderId="25" xfId="0" applyBorder="1">
      <alignment vertical="center"/>
    </xf>
    <xf numFmtId="0" fontId="7" fillId="0" borderId="44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14" fontId="4" fillId="0" borderId="19" xfId="0" applyNumberFormat="1" applyFont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49" xfId="0" applyFont="1" applyFill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62E59-6325-9346-86D0-E722D943F5B7}">
  <sheetPr codeName="Sheet2"/>
  <dimension ref="A1:J85"/>
  <sheetViews>
    <sheetView tabSelected="1" zoomScale="123" zoomScaleNormal="120" workbookViewId="0">
      <selection activeCell="C27" sqref="C27"/>
    </sheetView>
  </sheetViews>
  <sheetFormatPr baseColWidth="10" defaultRowHeight="20"/>
  <cols>
    <col min="1" max="1" width="17.5703125" style="2" bestFit="1" customWidth="1"/>
    <col min="2" max="2" width="23.42578125" style="2" bestFit="1" customWidth="1"/>
    <col min="3" max="3" width="20.7109375" style="2" customWidth="1"/>
    <col min="4" max="4" width="26.7109375" style="2" customWidth="1"/>
    <col min="5" max="5" width="12" style="2" bestFit="1" customWidth="1"/>
    <col min="6" max="6" width="26.7109375" style="2" bestFit="1" customWidth="1"/>
    <col min="7" max="7" width="11.42578125" style="2" customWidth="1"/>
    <col min="8" max="8" width="13.85546875" style="2" bestFit="1" customWidth="1"/>
    <col min="9" max="16384" width="10.7109375" style="2"/>
  </cols>
  <sheetData>
    <row r="1" spans="1:10" ht="21" thickBot="1">
      <c r="A1" s="127" t="s">
        <v>1453</v>
      </c>
      <c r="B1" s="128" t="s">
        <v>1450</v>
      </c>
      <c r="C1" s="129" t="s">
        <v>1452</v>
      </c>
    </row>
    <row r="2" spans="1:10" ht="21" thickBot="1">
      <c r="A2" s="130"/>
      <c r="B2" s="115" t="s">
        <v>1451</v>
      </c>
      <c r="C2" s="129" t="s">
        <v>1452</v>
      </c>
    </row>
    <row r="3" spans="1:10">
      <c r="A3" s="127" t="s">
        <v>0</v>
      </c>
      <c r="B3" s="128" t="s">
        <v>1373</v>
      </c>
      <c r="C3" s="129" t="s">
        <v>1396</v>
      </c>
    </row>
    <row r="4" spans="1:10" ht="21" thickBot="1">
      <c r="A4" s="130"/>
      <c r="B4" s="115" t="s">
        <v>1374</v>
      </c>
      <c r="C4" s="131" t="s">
        <v>1344</v>
      </c>
    </row>
    <row r="5" spans="1:10">
      <c r="A5" s="127" t="s">
        <v>1</v>
      </c>
      <c r="B5" s="128" t="s">
        <v>1389</v>
      </c>
      <c r="C5" s="129" t="s">
        <v>2</v>
      </c>
      <c r="D5" s="2" t="s">
        <v>1390</v>
      </c>
    </row>
    <row r="6" spans="1:10">
      <c r="A6" s="130"/>
      <c r="B6" s="115" t="s">
        <v>1375</v>
      </c>
      <c r="C6" s="135">
        <v>25569</v>
      </c>
      <c r="D6" s="2" t="s">
        <v>1388</v>
      </c>
      <c r="F6" s="9"/>
    </row>
    <row r="7" spans="1:10">
      <c r="A7" s="130"/>
      <c r="B7" s="115" t="s">
        <v>1376</v>
      </c>
      <c r="C7" s="135">
        <v>43981</v>
      </c>
      <c r="F7" s="9"/>
    </row>
    <row r="8" spans="1:10">
      <c r="A8" s="130"/>
      <c r="B8" s="115" t="s">
        <v>1397</v>
      </c>
      <c r="C8" s="142" t="str">
        <f>DATEDIF(C6, C7, "Y")&amp;"歳"&amp;MOD(DATEDIF(C6,C7,"M"),12)&amp;"ヶ月"</f>
        <v>50歳4ヶ月</v>
      </c>
      <c r="D8" s="2" t="s">
        <v>1392</v>
      </c>
      <c r="F8" s="9"/>
    </row>
    <row r="9" spans="1:10">
      <c r="A9" s="130"/>
      <c r="B9" s="115" t="s">
        <v>1294</v>
      </c>
      <c r="C9" s="131" t="s">
        <v>56</v>
      </c>
    </row>
    <row r="10" spans="1:10" ht="21" thickBot="1">
      <c r="A10" s="132"/>
      <c r="B10" s="133" t="s">
        <v>1377</v>
      </c>
      <c r="C10" s="134" t="s">
        <v>1290</v>
      </c>
    </row>
    <row r="11" spans="1:10">
      <c r="A11" s="127" t="s">
        <v>1382</v>
      </c>
      <c r="B11" s="128" t="s">
        <v>4</v>
      </c>
      <c r="C11" s="149">
        <v>41130</v>
      </c>
      <c r="F11" s="9"/>
    </row>
    <row r="12" spans="1:10">
      <c r="A12" s="130"/>
      <c r="B12" s="115" t="s">
        <v>1298</v>
      </c>
      <c r="C12" s="136" t="s">
        <v>1299</v>
      </c>
      <c r="D12" s="2" t="s">
        <v>1398</v>
      </c>
      <c r="F12" s="90"/>
      <c r="G12" s="90"/>
      <c r="H12" s="90"/>
      <c r="I12" s="90"/>
      <c r="J12" s="90"/>
    </row>
    <row r="13" spans="1:10">
      <c r="A13" s="130"/>
      <c r="B13" s="115" t="s">
        <v>1378</v>
      </c>
      <c r="C13" s="131" t="s">
        <v>6</v>
      </c>
      <c r="D13" s="2" t="s">
        <v>1343</v>
      </c>
    </row>
    <row r="14" spans="1:10">
      <c r="A14" s="130"/>
      <c r="B14" s="115" t="s">
        <v>1379</v>
      </c>
      <c r="C14" s="131" t="s">
        <v>7</v>
      </c>
      <c r="D14" s="2" t="s">
        <v>1385</v>
      </c>
    </row>
    <row r="15" spans="1:10" ht="21" thickBot="1">
      <c r="A15" s="130"/>
      <c r="B15" s="138" t="s">
        <v>1384</v>
      </c>
      <c r="C15" s="139"/>
      <c r="D15" s="2" t="s">
        <v>1387</v>
      </c>
    </row>
    <row r="16" spans="1:10">
      <c r="A16" s="140" t="s">
        <v>1383</v>
      </c>
      <c r="B16" s="128" t="s">
        <v>4</v>
      </c>
      <c r="C16" s="129"/>
      <c r="F16" s="9"/>
    </row>
    <row r="17" spans="1:10">
      <c r="A17" s="130"/>
      <c r="B17" s="115" t="s">
        <v>1298</v>
      </c>
      <c r="C17" s="136" t="s">
        <v>1380</v>
      </c>
      <c r="D17" s="2" t="s">
        <v>1381</v>
      </c>
      <c r="F17" s="90"/>
      <c r="G17" s="90"/>
      <c r="H17" s="90"/>
      <c r="I17" s="90"/>
      <c r="J17" s="90"/>
    </row>
    <row r="18" spans="1:10">
      <c r="A18" s="130"/>
      <c r="B18" s="115" t="s">
        <v>1378</v>
      </c>
      <c r="C18" s="131"/>
    </row>
    <row r="19" spans="1:10">
      <c r="A19" s="130"/>
      <c r="B19" s="115" t="s">
        <v>1379</v>
      </c>
      <c r="C19" s="131"/>
    </row>
    <row r="20" spans="1:10" ht="21" thickBot="1">
      <c r="A20" s="130"/>
      <c r="B20" s="138" t="s">
        <v>1384</v>
      </c>
      <c r="C20" s="139" t="s">
        <v>1386</v>
      </c>
    </row>
    <row r="21" spans="1:10">
      <c r="A21" s="127" t="s">
        <v>1395</v>
      </c>
      <c r="B21" s="128" t="s">
        <v>1331</v>
      </c>
      <c r="C21" s="129" t="s">
        <v>1307</v>
      </c>
    </row>
    <row r="22" spans="1:10">
      <c r="A22" s="122"/>
      <c r="B22" s="148" t="s">
        <v>80</v>
      </c>
      <c r="C22" s="131"/>
    </row>
    <row r="23" spans="1:10">
      <c r="A23" s="130"/>
      <c r="B23" s="115" t="s">
        <v>1334</v>
      </c>
      <c r="C23" s="135">
        <v>45993</v>
      </c>
    </row>
    <row r="24" spans="1:10" ht="21" thickBot="1">
      <c r="A24" s="132"/>
      <c r="B24" s="133" t="s">
        <v>13</v>
      </c>
      <c r="C24" s="134"/>
    </row>
    <row r="25" spans="1:10">
      <c r="A25" s="41"/>
    </row>
    <row r="83" spans="1:4">
      <c r="A83" s="41"/>
    </row>
    <row r="84" spans="1:4">
      <c r="A84" s="41"/>
      <c r="B84" s="41"/>
      <c r="C84" s="41"/>
    </row>
    <row r="85" spans="1:4">
      <c r="B85" s="9"/>
      <c r="D85" s="41"/>
    </row>
  </sheetData>
  <phoneticPr fontId="1"/>
  <pageMargins left="0.7" right="0.7" top="0.75" bottom="0.75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xr:uid="{D7C81860-7E68-384F-898F-752854E11B9F}">
          <x14:formula1>
            <xm:f>List!$C$2:$C$6</xm:f>
          </x14:formula1>
          <xm:sqref>C17 C12</xm:sqref>
        </x14:dataValidation>
        <x14:dataValidation type="list" allowBlank="1" showInputMessage="1" showErrorMessage="1" xr:uid="{0A1ABA5E-5809-C042-AC88-81901898BA0A}">
          <x14:formula1>
            <xm:f>List!$B$2:$B$3</xm:f>
          </x14:formula1>
          <xm:sqref>C10</xm:sqref>
        </x14:dataValidation>
        <x14:dataValidation type="list" allowBlank="1" showInputMessage="1" showErrorMessage="1" xr:uid="{C73168F1-EE4D-774D-BE9F-A51512B4BD8E}">
          <x14:formula1>
            <xm:f>List!$A$2:$A$3</xm:f>
          </x14:formula1>
          <xm:sqref>C9</xm:sqref>
        </x14:dataValidation>
        <x14:dataValidation type="list" allowBlank="1" showInputMessage="1" showErrorMessage="1" xr:uid="{E316E673-0B3E-3F42-8F8E-C950019CA1A1}">
          <x14:formula1>
            <xm:f>List!$AE$2:$AE$5</xm:f>
          </x14:formula1>
          <xm:sqref>C21</xm:sqref>
        </x14:dataValidation>
        <x14:dataValidation type="list" allowBlank="1" showInputMessage="1" showErrorMessage="1" xr:uid="{411BCD7F-AFAB-1445-8069-EE407043EC6E}">
          <x14:formula1>
            <xm:f>List!$E$2:$E$3</xm:f>
          </x14:formula1>
          <xm:sqref>C1:C2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9247F-4E1A-AB4C-990A-F3E4FC27C380}">
  <dimension ref="A1:F57"/>
  <sheetViews>
    <sheetView zoomScale="120" zoomScaleNormal="120" workbookViewId="0">
      <selection activeCell="D19" sqref="D19"/>
    </sheetView>
  </sheetViews>
  <sheetFormatPr baseColWidth="10" defaultRowHeight="20"/>
  <cols>
    <col min="1" max="1" width="17.5703125" bestFit="1" customWidth="1"/>
    <col min="2" max="2" width="26.5703125" customWidth="1"/>
    <col min="3" max="3" width="17" customWidth="1"/>
    <col min="4" max="4" width="50.5703125" customWidth="1"/>
    <col min="5" max="5" width="12" bestFit="1" customWidth="1"/>
    <col min="6" max="6" width="13.85546875" bestFit="1" customWidth="1"/>
  </cols>
  <sheetData>
    <row r="1" spans="1:6" ht="21" thickBot="1">
      <c r="A1" s="41" t="s">
        <v>1355</v>
      </c>
      <c r="B1" s="2" t="s">
        <v>1391</v>
      </c>
      <c r="C1" s="2"/>
      <c r="D1" s="2"/>
      <c r="E1" s="2"/>
      <c r="F1" s="2"/>
    </row>
    <row r="2" spans="1:6" ht="21" thickBot="1">
      <c r="A2" s="112" t="s">
        <v>1314</v>
      </c>
      <c r="B2" s="29" t="s">
        <v>975</v>
      </c>
      <c r="C2" s="30" t="s">
        <v>1002</v>
      </c>
      <c r="D2" s="29" t="s">
        <v>953</v>
      </c>
      <c r="E2" s="47" t="s">
        <v>1339</v>
      </c>
      <c r="F2" s="48" t="s">
        <v>1338</v>
      </c>
    </row>
    <row r="3" spans="1:6">
      <c r="A3" s="39" t="s">
        <v>1316</v>
      </c>
      <c r="B3" s="97"/>
      <c r="C3" s="98"/>
      <c r="D3" s="99"/>
      <c r="E3" s="14">
        <v>21</v>
      </c>
      <c r="F3" s="36" t="s">
        <v>1317</v>
      </c>
    </row>
    <row r="4" spans="1:6" ht="21">
      <c r="A4" s="39" t="s">
        <v>1312</v>
      </c>
      <c r="B4" s="106" t="s">
        <v>999</v>
      </c>
      <c r="C4" s="105" t="s">
        <v>942</v>
      </c>
      <c r="D4" s="107" t="s">
        <v>385</v>
      </c>
      <c r="E4" s="14">
        <v>29</v>
      </c>
      <c r="F4" s="36" t="s">
        <v>1313</v>
      </c>
    </row>
    <row r="5" spans="1:6">
      <c r="A5" s="39" t="s">
        <v>1315</v>
      </c>
      <c r="B5" s="106"/>
      <c r="C5" s="105"/>
      <c r="D5" s="107"/>
      <c r="E5" s="14">
        <v>35</v>
      </c>
      <c r="F5" s="36" t="s">
        <v>1130</v>
      </c>
    </row>
    <row r="6" spans="1:6" ht="21">
      <c r="A6" s="39" t="s">
        <v>1318</v>
      </c>
      <c r="B6" s="106" t="s">
        <v>1337</v>
      </c>
      <c r="C6" s="105" t="s">
        <v>959</v>
      </c>
      <c r="D6" s="107" t="s">
        <v>492</v>
      </c>
      <c r="E6" s="14">
        <v>45</v>
      </c>
      <c r="F6" s="36" t="s">
        <v>1133</v>
      </c>
    </row>
    <row r="7" spans="1:6" ht="21">
      <c r="A7" s="39" t="s">
        <v>1356</v>
      </c>
      <c r="B7" s="106" t="s">
        <v>1448</v>
      </c>
      <c r="C7" s="105"/>
      <c r="D7" s="107"/>
      <c r="E7" s="14">
        <v>46</v>
      </c>
      <c r="F7" s="36" t="s">
        <v>1358</v>
      </c>
    </row>
    <row r="8" spans="1:6" ht="21">
      <c r="A8" s="39" t="s">
        <v>1357</v>
      </c>
      <c r="B8" s="106" t="s">
        <v>1449</v>
      </c>
      <c r="C8" s="105"/>
      <c r="D8" s="107"/>
      <c r="E8" s="14">
        <v>52</v>
      </c>
      <c r="F8" s="36" t="s">
        <v>1358</v>
      </c>
    </row>
    <row r="9" spans="1:6">
      <c r="A9" s="39"/>
      <c r="B9" s="106"/>
      <c r="C9" s="105"/>
      <c r="D9" s="107"/>
      <c r="E9" s="14"/>
      <c r="F9" s="36"/>
    </row>
    <row r="10" spans="1:6">
      <c r="A10" s="39"/>
      <c r="B10" s="106"/>
      <c r="C10" s="105"/>
      <c r="D10" s="107"/>
      <c r="E10" s="14"/>
      <c r="F10" s="36"/>
    </row>
    <row r="11" spans="1:6">
      <c r="A11" s="39"/>
      <c r="B11" s="106"/>
      <c r="C11" s="105"/>
      <c r="D11" s="107"/>
      <c r="E11" s="14"/>
      <c r="F11" s="36"/>
    </row>
    <row r="12" spans="1:6">
      <c r="A12" s="39"/>
      <c r="B12" s="106"/>
      <c r="C12" s="105"/>
      <c r="D12" s="107"/>
      <c r="E12" s="14"/>
      <c r="F12" s="36"/>
    </row>
    <row r="13" spans="1:6">
      <c r="A13" s="39"/>
      <c r="B13" s="106"/>
      <c r="C13" s="105"/>
      <c r="D13" s="107"/>
      <c r="E13" s="14"/>
      <c r="F13" s="36"/>
    </row>
    <row r="14" spans="1:6">
      <c r="A14" s="39"/>
      <c r="B14" s="106"/>
      <c r="C14" s="105"/>
      <c r="D14" s="107"/>
      <c r="E14" s="14"/>
      <c r="F14" s="36"/>
    </row>
    <row r="15" spans="1:6">
      <c r="A15" s="39"/>
      <c r="B15" s="106"/>
      <c r="C15" s="105"/>
      <c r="D15" s="107"/>
      <c r="E15" s="14"/>
      <c r="F15" s="36"/>
    </row>
    <row r="16" spans="1:6" ht="21" thickBot="1">
      <c r="A16" s="40"/>
      <c r="B16" s="124"/>
      <c r="C16" s="125"/>
      <c r="D16" s="126"/>
      <c r="E16" s="16"/>
      <c r="F16" s="37"/>
    </row>
    <row r="17" spans="1:6">
      <c r="A17" s="2"/>
      <c r="B17" s="2"/>
      <c r="C17" s="2"/>
      <c r="D17" s="2"/>
      <c r="E17" s="2"/>
      <c r="F17" s="2"/>
    </row>
    <row r="18" spans="1:6" ht="21" thickBot="1">
      <c r="A18" s="41" t="s">
        <v>1323</v>
      </c>
      <c r="B18" s="2"/>
      <c r="C18" s="2"/>
      <c r="D18" s="2"/>
      <c r="E18" s="2"/>
      <c r="F18" s="2"/>
    </row>
    <row r="19" spans="1:6">
      <c r="A19" s="112" t="s">
        <v>1324</v>
      </c>
      <c r="B19" s="47" t="s">
        <v>1326</v>
      </c>
      <c r="C19" s="48" t="s">
        <v>1327</v>
      </c>
      <c r="D19" s="2"/>
      <c r="E19" s="2"/>
      <c r="F19" s="2"/>
    </row>
    <row r="20" spans="1:6">
      <c r="A20" s="39" t="s">
        <v>1325</v>
      </c>
      <c r="B20" s="13">
        <v>44927</v>
      </c>
      <c r="C20" s="36"/>
      <c r="D20" s="2"/>
      <c r="E20" s="2"/>
      <c r="F20" s="2"/>
    </row>
    <row r="21" spans="1:6">
      <c r="A21" s="39"/>
      <c r="B21" s="14"/>
      <c r="C21" s="36"/>
      <c r="D21" s="2"/>
      <c r="E21" s="2"/>
      <c r="F21" s="2"/>
    </row>
    <row r="22" spans="1:6">
      <c r="A22" s="121"/>
      <c r="B22" s="58"/>
      <c r="C22" s="59"/>
      <c r="D22" s="2"/>
      <c r="E22" s="2"/>
      <c r="F22" s="2"/>
    </row>
    <row r="23" spans="1:6">
      <c r="A23" s="121"/>
      <c r="B23" s="58"/>
      <c r="C23" s="59"/>
      <c r="D23" s="2"/>
      <c r="E23" s="2"/>
      <c r="F23" s="2"/>
    </row>
    <row r="24" spans="1:6" ht="21" thickBot="1">
      <c r="A24" s="40"/>
      <c r="B24" s="16"/>
      <c r="C24" s="37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 ht="21" thickBot="1">
      <c r="A26" s="41" t="s">
        <v>1321</v>
      </c>
      <c r="B26" s="2"/>
      <c r="C26" s="2"/>
      <c r="D26" s="2"/>
      <c r="E26" s="2"/>
      <c r="F26" s="2"/>
    </row>
    <row r="27" spans="1:6">
      <c r="A27" s="112" t="s">
        <v>53</v>
      </c>
      <c r="B27" s="47" t="s">
        <v>1332</v>
      </c>
      <c r="C27" s="48" t="s">
        <v>1333</v>
      </c>
      <c r="D27" s="2"/>
      <c r="E27" s="2"/>
      <c r="F27" s="2"/>
    </row>
    <row r="28" spans="1:6" ht="21" thickBot="1">
      <c r="A28" s="40" t="s">
        <v>8</v>
      </c>
      <c r="B28" s="16" t="s">
        <v>55</v>
      </c>
      <c r="C28" s="37">
        <v>40</v>
      </c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 ht="21" thickBot="1">
      <c r="A30" s="41" t="s">
        <v>1320</v>
      </c>
      <c r="B30" s="43"/>
      <c r="C30" s="2"/>
      <c r="D30" s="2"/>
      <c r="E30" s="2"/>
      <c r="F30" s="2"/>
    </row>
    <row r="31" spans="1:6">
      <c r="A31" s="112" t="s">
        <v>1322</v>
      </c>
      <c r="B31" s="120" t="s">
        <v>1311</v>
      </c>
      <c r="C31" s="48" t="s">
        <v>1329</v>
      </c>
      <c r="D31" s="2"/>
      <c r="E31" s="2"/>
      <c r="F31" s="2"/>
    </row>
    <row r="32" spans="1:6">
      <c r="A32" s="118" t="s">
        <v>18</v>
      </c>
      <c r="B32" s="111" t="s">
        <v>1328</v>
      </c>
      <c r="C32" s="36">
        <v>49</v>
      </c>
      <c r="D32" s="2"/>
      <c r="E32" s="2"/>
      <c r="F32" s="2"/>
    </row>
    <row r="33" spans="1:6">
      <c r="A33" s="118" t="s">
        <v>19</v>
      </c>
      <c r="B33" s="111" t="s">
        <v>1330</v>
      </c>
      <c r="C33" s="36">
        <v>49</v>
      </c>
      <c r="D33" s="2"/>
      <c r="E33" s="2"/>
      <c r="F33" s="2"/>
    </row>
    <row r="34" spans="1:6">
      <c r="A34" s="118" t="s">
        <v>20</v>
      </c>
      <c r="B34" s="111" t="s">
        <v>1319</v>
      </c>
      <c r="C34" s="36">
        <v>53</v>
      </c>
      <c r="D34" s="2"/>
      <c r="E34" s="2"/>
      <c r="F34" s="2"/>
    </row>
    <row r="35" spans="1:6">
      <c r="A35" s="118" t="s">
        <v>1284</v>
      </c>
      <c r="B35" s="14"/>
      <c r="C35" s="36"/>
      <c r="D35" s="2"/>
      <c r="E35" s="2"/>
      <c r="F35" s="2"/>
    </row>
    <row r="36" spans="1:6">
      <c r="A36" s="118" t="s">
        <v>1285</v>
      </c>
      <c r="B36" s="14"/>
      <c r="C36" s="36"/>
      <c r="D36" s="2"/>
      <c r="E36" s="2"/>
      <c r="F36" s="2"/>
    </row>
    <row r="37" spans="1:6">
      <c r="A37" s="118" t="s">
        <v>1286</v>
      </c>
      <c r="B37" s="14"/>
      <c r="C37" s="36"/>
      <c r="D37" s="2"/>
      <c r="E37" s="2"/>
      <c r="F37" s="2"/>
    </row>
    <row r="38" spans="1:6">
      <c r="A38" s="113"/>
      <c r="B38" s="14"/>
      <c r="C38" s="36"/>
      <c r="D38" s="2"/>
      <c r="E38" s="2"/>
      <c r="F38" s="2"/>
    </row>
    <row r="39" spans="1:6">
      <c r="A39" s="113"/>
      <c r="B39" s="14"/>
      <c r="C39" s="36"/>
      <c r="D39" s="2"/>
      <c r="E39" s="2"/>
      <c r="F39" s="2"/>
    </row>
    <row r="40" spans="1:6">
      <c r="A40" s="113"/>
      <c r="B40" s="14"/>
      <c r="C40" s="36"/>
      <c r="D40" s="2"/>
      <c r="E40" s="2"/>
      <c r="F40" s="2"/>
    </row>
    <row r="41" spans="1:6" ht="21" thickBot="1">
      <c r="A41" s="114"/>
      <c r="B41" s="16"/>
      <c r="C41" s="37"/>
      <c r="D41" s="2"/>
      <c r="E41" s="2"/>
      <c r="F41" s="2"/>
    </row>
    <row r="42" spans="1:6">
      <c r="A42" s="41"/>
      <c r="B42" s="2"/>
      <c r="C42" s="2"/>
      <c r="D42" s="2"/>
      <c r="E42" s="2"/>
      <c r="F42" s="2"/>
    </row>
    <row r="43" spans="1:6" ht="21" thickBot="1">
      <c r="A43" s="41" t="s">
        <v>10</v>
      </c>
      <c r="B43" s="2"/>
      <c r="C43" s="2"/>
      <c r="D43" s="2"/>
      <c r="E43" s="2"/>
      <c r="F43" s="2"/>
    </row>
    <row r="44" spans="1:6">
      <c r="A44" s="112" t="s">
        <v>10</v>
      </c>
      <c r="B44" s="117" t="s">
        <v>1341</v>
      </c>
      <c r="C44" s="4">
        <v>2</v>
      </c>
      <c r="D44" s="2"/>
      <c r="E44" s="2"/>
      <c r="F44" s="2"/>
    </row>
    <row r="45" spans="1:6" ht="21" thickBot="1">
      <c r="A45" s="114"/>
      <c r="B45" s="116" t="s">
        <v>1342</v>
      </c>
      <c r="C45" s="3">
        <v>1</v>
      </c>
      <c r="D45" s="2"/>
      <c r="E45" s="2"/>
      <c r="F45" s="2"/>
    </row>
    <row r="46" spans="1:6">
      <c r="A46" s="41"/>
      <c r="B46" s="2"/>
      <c r="C46" s="2"/>
      <c r="D46" s="2"/>
      <c r="E46" s="2"/>
      <c r="F46" s="2"/>
    </row>
    <row r="47" spans="1:6" ht="21" thickBot="1">
      <c r="A47" s="41" t="s">
        <v>1340</v>
      </c>
      <c r="B47" s="2"/>
      <c r="C47" s="2"/>
      <c r="D47" s="2"/>
      <c r="E47" s="2"/>
      <c r="F47" s="2"/>
    </row>
    <row r="48" spans="1:6">
      <c r="A48" s="112" t="s">
        <v>1254</v>
      </c>
      <c r="B48" s="47" t="s">
        <v>1258</v>
      </c>
      <c r="C48" s="48" t="s">
        <v>1259</v>
      </c>
      <c r="D48" s="2"/>
      <c r="E48" s="2"/>
      <c r="F48" s="2"/>
    </row>
    <row r="49" spans="1:6" ht="21" thickBot="1">
      <c r="A49" s="40">
        <v>20</v>
      </c>
      <c r="B49" s="16">
        <v>20</v>
      </c>
      <c r="C49" s="37">
        <v>40</v>
      </c>
      <c r="D49" s="2"/>
      <c r="E49" s="2"/>
      <c r="F49" s="2"/>
    </row>
    <row r="50" spans="1:6">
      <c r="A50" s="41"/>
      <c r="B50" s="2"/>
      <c r="C50" s="2"/>
      <c r="D50" s="2"/>
      <c r="E50" s="2"/>
      <c r="F50" s="2"/>
    </row>
    <row r="51" spans="1:6" ht="21" thickBot="1">
      <c r="A51" s="41" t="s">
        <v>1353</v>
      </c>
      <c r="B51" s="2"/>
      <c r="C51" s="2"/>
      <c r="D51" s="2"/>
      <c r="E51" s="2"/>
      <c r="F51" s="2"/>
    </row>
    <row r="52" spans="1:6">
      <c r="A52" s="112" t="s">
        <v>1351</v>
      </c>
      <c r="B52" s="47" t="s">
        <v>1352</v>
      </c>
      <c r="C52" s="48" t="s">
        <v>1354</v>
      </c>
      <c r="D52" s="2"/>
      <c r="E52" s="2"/>
      <c r="F52" s="2"/>
    </row>
    <row r="53" spans="1:6" ht="21" thickBot="1">
      <c r="A53" s="40">
        <v>170</v>
      </c>
      <c r="B53" s="16">
        <v>65</v>
      </c>
      <c r="C53" s="141">
        <f>B53/((A53/100)*(A53/100))</f>
        <v>22.491349480968861</v>
      </c>
      <c r="D53" s="2" t="s">
        <v>1393</v>
      </c>
      <c r="E53" s="2"/>
      <c r="F53" s="2"/>
    </row>
    <row r="54" spans="1:6" ht="21" thickBot="1">
      <c r="A54" s="2"/>
      <c r="B54" s="2"/>
      <c r="C54" s="2"/>
      <c r="D54" s="2"/>
      <c r="E54" s="2"/>
      <c r="F54" s="2"/>
    </row>
    <row r="55" spans="1:6">
      <c r="A55" s="92" t="s">
        <v>11</v>
      </c>
      <c r="B55" s="41"/>
      <c r="C55" s="41"/>
      <c r="D55" s="2" t="s">
        <v>1346</v>
      </c>
      <c r="E55" s="2"/>
      <c r="F55" s="2"/>
    </row>
    <row r="56" spans="1:6" ht="21" thickBot="1">
      <c r="A56" s="5" t="s">
        <v>1345</v>
      </c>
      <c r="B56" s="2"/>
      <c r="C56" s="2"/>
      <c r="D56" s="2" t="s">
        <v>1335</v>
      </c>
      <c r="E56" s="2"/>
      <c r="F56" s="2"/>
    </row>
    <row r="57" spans="1:6">
      <c r="A57" s="2"/>
      <c r="B57" s="2"/>
      <c r="C57" s="2"/>
      <c r="D57" s="2" t="s">
        <v>1336</v>
      </c>
      <c r="E57" s="2"/>
      <c r="F57" s="2"/>
    </row>
  </sheetData>
  <phoneticPr fontId="1"/>
  <dataValidations count="2">
    <dataValidation type="list" allowBlank="1" showInputMessage="1" showErrorMessage="1" sqref="C3:C16" xr:uid="{A158A569-10A6-4E4A-8B9D-EB03242FAD41}">
      <formula1>病変部位</formula1>
    </dataValidation>
    <dataValidation type="list" allowBlank="1" showInputMessage="1" showErrorMessage="1" sqref="D3:D16" xr:uid="{A67D1207-095D-B448-A17E-9AA403489F20}">
      <formula1>INDIRECT(C3)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8D71B8A-ED63-E148-9ABA-8BE4A1FA6665}">
          <x14:formula1>
            <xm:f>List!$L$2:$L$4</xm:f>
          </x14:formula1>
          <xm:sqref>A28</xm:sqref>
        </x14:dataValidation>
        <x14:dataValidation type="list" allowBlank="1" showInputMessage="1" xr:uid="{F1FE15DE-BBFF-8046-9B51-BCD0EBD186DA}">
          <x14:formula1>
            <xm:f>List!$AA$2:$AA$35</xm:f>
          </x14:formula1>
          <xm:sqref>F3:F16</xm:sqref>
        </x14:dataValidation>
        <x14:dataValidation type="list" allowBlank="1" showInputMessage="1" showErrorMessage="1" xr:uid="{7A98E794-D038-8147-9D5B-07409A42061A}">
          <x14:formula1>
            <xm:f>List!$AF$2:$AF$6</xm:f>
          </x14:formula1>
          <xm:sqref>A56</xm:sqref>
        </x14:dataValidation>
        <x14:dataValidation type="list" allowBlank="1" showInputMessage="1" showErrorMessage="1" xr:uid="{B6C56FCE-0679-C84D-B104-3730458230C5}">
          <x14:formula1>
            <xm:f>List!$P$2:$P$100</xm:f>
          </x14:formula1>
          <xm:sqref>B3:B16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A78F7-A6E1-E443-84E1-E6C6423C0755}">
  <dimension ref="A1:U24"/>
  <sheetViews>
    <sheetView zoomScale="123" zoomScaleNormal="12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1" sqref="D11"/>
    </sheetView>
  </sheetViews>
  <sheetFormatPr baseColWidth="10" defaultRowHeight="20"/>
  <cols>
    <col min="1" max="1" width="19.7109375" style="2" bestFit="1" customWidth="1"/>
    <col min="2" max="8" width="14.28515625" style="2" customWidth="1"/>
    <col min="9" max="15" width="14.28515625" customWidth="1"/>
    <col min="16" max="21" width="14.28515625" style="2" customWidth="1"/>
    <col min="22" max="16384" width="10.7109375" style="2"/>
  </cols>
  <sheetData>
    <row r="1" spans="1:21" ht="21" thickBot="1">
      <c r="A1" s="151" t="s">
        <v>1403</v>
      </c>
      <c r="B1" s="151"/>
      <c r="C1" s="150"/>
      <c r="D1" s="150"/>
    </row>
    <row r="2" spans="1:21">
      <c r="A2" s="112" t="s">
        <v>1401</v>
      </c>
      <c r="B2" s="166" t="s">
        <v>1408</v>
      </c>
      <c r="C2" s="47" t="s">
        <v>1399</v>
      </c>
      <c r="D2" s="47" t="s">
        <v>1400</v>
      </c>
      <c r="E2" s="47" t="s">
        <v>1404</v>
      </c>
      <c r="F2" s="47" t="s">
        <v>1405</v>
      </c>
      <c r="G2" s="47" t="s">
        <v>1406</v>
      </c>
      <c r="H2" s="47" t="s">
        <v>1407</v>
      </c>
      <c r="I2" s="47" t="s">
        <v>1410</v>
      </c>
      <c r="J2" s="47" t="s">
        <v>1411</v>
      </c>
      <c r="K2" s="47" t="s">
        <v>1412</v>
      </c>
      <c r="L2" s="47" t="s">
        <v>1413</v>
      </c>
      <c r="M2" s="47" t="s">
        <v>1414</v>
      </c>
      <c r="N2" s="47" t="s">
        <v>1415</v>
      </c>
      <c r="O2" s="47" t="s">
        <v>1416</v>
      </c>
      <c r="P2" s="47" t="s">
        <v>1417</v>
      </c>
      <c r="Q2" s="47" t="s">
        <v>1418</v>
      </c>
      <c r="R2" s="47" t="s">
        <v>1419</v>
      </c>
      <c r="S2" s="47" t="s">
        <v>1420</v>
      </c>
      <c r="T2" s="47" t="s">
        <v>1421</v>
      </c>
      <c r="U2" s="48" t="s">
        <v>1422</v>
      </c>
    </row>
    <row r="3" spans="1:21">
      <c r="A3" s="113" t="s">
        <v>1294</v>
      </c>
      <c r="B3" s="152" t="s">
        <v>1402</v>
      </c>
      <c r="C3" s="14" t="s">
        <v>1143</v>
      </c>
      <c r="D3" s="14" t="s">
        <v>1402</v>
      </c>
      <c r="E3" s="14" t="s">
        <v>1143</v>
      </c>
      <c r="F3" s="14" t="s">
        <v>1402</v>
      </c>
      <c r="G3" s="14" t="s">
        <v>1143</v>
      </c>
      <c r="H3" s="14" t="s">
        <v>1402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36"/>
    </row>
    <row r="4" spans="1:21" ht="21" thickBot="1">
      <c r="A4" s="114" t="s">
        <v>1446</v>
      </c>
      <c r="B4" s="159" t="s">
        <v>1409</v>
      </c>
      <c r="C4" s="16"/>
      <c r="D4" s="16"/>
      <c r="E4" s="16"/>
      <c r="F4" s="16"/>
      <c r="G4" s="165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37"/>
    </row>
    <row r="5" spans="1:21">
      <c r="A5" s="167" t="s">
        <v>1423</v>
      </c>
      <c r="B5" s="161" t="s">
        <v>1444</v>
      </c>
      <c r="C5" s="64"/>
      <c r="D5" s="64"/>
      <c r="E5" s="64"/>
      <c r="F5" s="64"/>
      <c r="G5" s="3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70"/>
    </row>
    <row r="6" spans="1:21" ht="21" thickBot="1">
      <c r="A6" s="168" t="s">
        <v>1424</v>
      </c>
      <c r="B6" s="153">
        <v>29</v>
      </c>
      <c r="C6" s="58"/>
      <c r="D6" s="58"/>
      <c r="E6" s="58"/>
      <c r="F6" s="58"/>
      <c r="G6" s="58"/>
      <c r="H6" s="58"/>
      <c r="I6" s="154"/>
      <c r="J6" s="154"/>
      <c r="K6" s="154"/>
      <c r="L6" s="154"/>
      <c r="M6" s="154"/>
      <c r="N6" s="154"/>
      <c r="O6" s="154"/>
      <c r="P6" s="58"/>
      <c r="Q6" s="58"/>
      <c r="R6" s="58"/>
      <c r="S6" s="58"/>
      <c r="T6" s="58"/>
      <c r="U6" s="59"/>
    </row>
    <row r="7" spans="1:21">
      <c r="A7" s="112" t="s">
        <v>1425</v>
      </c>
      <c r="B7" s="155" t="s">
        <v>1443</v>
      </c>
      <c r="C7" s="156"/>
      <c r="D7" s="156"/>
      <c r="E7" s="156"/>
      <c r="F7" s="156"/>
      <c r="G7" s="156"/>
      <c r="H7" s="156"/>
      <c r="I7" s="157"/>
      <c r="J7" s="157"/>
      <c r="K7" s="157"/>
      <c r="L7" s="157"/>
      <c r="M7" s="157"/>
      <c r="N7" s="157"/>
      <c r="O7" s="157"/>
      <c r="P7" s="156"/>
      <c r="Q7" s="156"/>
      <c r="R7" s="156"/>
      <c r="S7" s="156"/>
      <c r="T7" s="156"/>
      <c r="U7" s="158"/>
    </row>
    <row r="8" spans="1:21" ht="21" thickBot="1">
      <c r="A8" s="114" t="s">
        <v>1426</v>
      </c>
      <c r="B8" s="159">
        <v>38</v>
      </c>
      <c r="C8" s="16"/>
      <c r="D8" s="16"/>
      <c r="E8" s="16"/>
      <c r="F8" s="16"/>
      <c r="G8" s="165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37"/>
    </row>
    <row r="9" spans="1:21">
      <c r="A9" s="167" t="s">
        <v>1427</v>
      </c>
      <c r="B9" s="161" t="s">
        <v>1445</v>
      </c>
      <c r="C9" s="64"/>
      <c r="D9" s="64"/>
      <c r="E9" s="64"/>
      <c r="F9" s="64"/>
      <c r="G9" s="164"/>
      <c r="H9" s="164"/>
      <c r="I9" s="64"/>
      <c r="J9" s="64"/>
      <c r="K9" s="64"/>
      <c r="L9" s="64"/>
      <c r="M9" s="64"/>
      <c r="N9" s="64"/>
      <c r="O9" s="64"/>
      <c r="P9" s="64"/>
      <c r="Q9" s="164"/>
      <c r="R9" s="164"/>
      <c r="S9" s="164"/>
      <c r="T9" s="64"/>
      <c r="U9" s="70"/>
    </row>
    <row r="10" spans="1:21" ht="21" thickBot="1">
      <c r="A10" s="168" t="s">
        <v>1428</v>
      </c>
      <c r="B10" s="153">
        <v>57</v>
      </c>
      <c r="C10" s="58"/>
      <c r="D10" s="58"/>
      <c r="E10" s="58"/>
      <c r="F10" s="58"/>
      <c r="G10" s="58"/>
      <c r="H10" s="58"/>
      <c r="I10" s="154"/>
      <c r="J10" s="154"/>
      <c r="K10" s="154"/>
      <c r="L10" s="154"/>
      <c r="M10" s="154"/>
      <c r="N10" s="154"/>
      <c r="O10" s="154"/>
      <c r="P10" s="58"/>
      <c r="Q10" s="58"/>
      <c r="R10" s="58"/>
      <c r="S10" s="58"/>
      <c r="T10" s="58"/>
      <c r="U10" s="59"/>
    </row>
    <row r="11" spans="1:21">
      <c r="A11" s="112" t="s">
        <v>1429</v>
      </c>
      <c r="B11" s="155"/>
      <c r="C11" s="156"/>
      <c r="D11" s="156"/>
      <c r="E11" s="156"/>
      <c r="F11" s="156"/>
      <c r="G11" s="156"/>
      <c r="H11" s="156"/>
      <c r="I11" s="157"/>
      <c r="J11" s="157"/>
      <c r="K11" s="157"/>
      <c r="L11" s="157"/>
      <c r="M11" s="157"/>
      <c r="N11" s="157"/>
      <c r="O11" s="157"/>
      <c r="P11" s="156"/>
      <c r="Q11" s="156"/>
      <c r="R11" s="156"/>
      <c r="S11" s="156"/>
      <c r="T11" s="156"/>
      <c r="U11" s="158"/>
    </row>
    <row r="12" spans="1:21" ht="21" thickBot="1">
      <c r="A12" s="114" t="s">
        <v>1430</v>
      </c>
      <c r="B12" s="159"/>
      <c r="C12" s="16"/>
      <c r="D12" s="16"/>
      <c r="E12" s="16"/>
      <c r="F12" s="16"/>
      <c r="G12" s="16"/>
      <c r="H12" s="16"/>
      <c r="I12" s="160"/>
      <c r="J12" s="160"/>
      <c r="K12" s="160"/>
      <c r="L12" s="160"/>
      <c r="M12" s="160"/>
      <c r="N12" s="160"/>
      <c r="O12" s="160"/>
      <c r="P12" s="16"/>
      <c r="Q12" s="16"/>
      <c r="R12" s="16"/>
      <c r="S12" s="16"/>
      <c r="T12" s="16"/>
      <c r="U12" s="37"/>
    </row>
    <row r="13" spans="1:21">
      <c r="A13" s="167" t="s">
        <v>1431</v>
      </c>
      <c r="B13" s="161"/>
      <c r="C13" s="64"/>
      <c r="D13" s="64"/>
      <c r="E13" s="64"/>
      <c r="F13" s="64"/>
      <c r="G13" s="3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70"/>
    </row>
    <row r="14" spans="1:21" ht="21" thickBot="1">
      <c r="A14" s="168" t="s">
        <v>1432</v>
      </c>
      <c r="B14" s="153"/>
      <c r="C14" s="58"/>
      <c r="D14" s="58"/>
      <c r="E14" s="58"/>
      <c r="F14" s="58"/>
      <c r="G14" s="163"/>
      <c r="H14" s="163"/>
      <c r="I14" s="58"/>
      <c r="J14" s="58"/>
      <c r="K14" s="58"/>
      <c r="L14" s="58"/>
      <c r="M14" s="58"/>
      <c r="N14" s="58"/>
      <c r="O14" s="58"/>
      <c r="P14" s="58"/>
      <c r="Q14" s="163"/>
      <c r="R14" s="163"/>
      <c r="S14" s="163"/>
      <c r="T14" s="58"/>
      <c r="U14" s="59"/>
    </row>
    <row r="15" spans="1:21">
      <c r="A15" s="112" t="s">
        <v>1433</v>
      </c>
      <c r="B15" s="155"/>
      <c r="C15" s="156"/>
      <c r="D15" s="156"/>
      <c r="E15" s="156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8"/>
    </row>
    <row r="16" spans="1:21" ht="21" thickBot="1">
      <c r="A16" s="114" t="s">
        <v>1434</v>
      </c>
      <c r="B16" s="159"/>
      <c r="C16" s="16"/>
      <c r="D16" s="16"/>
      <c r="E16" s="16"/>
      <c r="F16" s="16"/>
      <c r="G16" s="16"/>
      <c r="H16" s="16"/>
      <c r="I16" s="160"/>
      <c r="J16" s="160"/>
      <c r="K16" s="160"/>
      <c r="L16" s="160"/>
      <c r="M16" s="160"/>
      <c r="N16" s="160"/>
      <c r="O16" s="160"/>
      <c r="P16" s="16"/>
      <c r="Q16" s="16"/>
      <c r="R16" s="16"/>
      <c r="S16" s="16"/>
      <c r="T16" s="16"/>
      <c r="U16" s="37"/>
    </row>
    <row r="17" spans="1:21">
      <c r="A17" s="167" t="s">
        <v>1435</v>
      </c>
      <c r="B17" s="161"/>
      <c r="C17" s="64"/>
      <c r="D17" s="64"/>
      <c r="E17" s="64"/>
      <c r="F17" s="64"/>
      <c r="G17" s="64"/>
      <c r="H17" s="64"/>
      <c r="I17" s="162"/>
      <c r="J17" s="162"/>
      <c r="K17" s="162"/>
      <c r="L17" s="162"/>
      <c r="M17" s="162"/>
      <c r="N17" s="162"/>
      <c r="O17" s="162"/>
      <c r="P17" s="64"/>
      <c r="Q17" s="64"/>
      <c r="R17" s="64"/>
      <c r="S17" s="64"/>
      <c r="T17" s="64"/>
      <c r="U17" s="70"/>
    </row>
    <row r="18" spans="1:21" ht="21" thickBot="1">
      <c r="A18" s="168" t="s">
        <v>1436</v>
      </c>
      <c r="B18" s="153"/>
      <c r="C18" s="58"/>
      <c r="D18" s="58"/>
      <c r="E18" s="58"/>
      <c r="F18" s="58"/>
      <c r="G18" s="58"/>
      <c r="H18" s="58"/>
      <c r="I18" s="154"/>
      <c r="J18" s="154"/>
      <c r="K18" s="154"/>
      <c r="L18" s="154"/>
      <c r="M18" s="154"/>
      <c r="N18" s="154"/>
      <c r="O18" s="154"/>
      <c r="P18" s="58"/>
      <c r="Q18" s="58"/>
      <c r="R18" s="58"/>
      <c r="S18" s="58"/>
      <c r="T18" s="58"/>
      <c r="U18" s="59"/>
    </row>
    <row r="19" spans="1:21">
      <c r="A19" s="112" t="s">
        <v>1437</v>
      </c>
      <c r="B19" s="155"/>
      <c r="C19" s="156"/>
      <c r="D19" s="156"/>
      <c r="E19" s="156"/>
      <c r="F19" s="156"/>
      <c r="G19" s="156"/>
      <c r="H19" s="156"/>
      <c r="I19" s="157"/>
      <c r="J19" s="157"/>
      <c r="K19" s="157"/>
      <c r="L19" s="157"/>
      <c r="M19" s="157"/>
      <c r="N19" s="157"/>
      <c r="O19" s="157"/>
      <c r="P19" s="156"/>
      <c r="Q19" s="156"/>
      <c r="R19" s="156"/>
      <c r="S19" s="156"/>
      <c r="T19" s="156"/>
      <c r="U19" s="158"/>
    </row>
    <row r="20" spans="1:21" ht="21" thickBot="1">
      <c r="A20" s="114" t="s">
        <v>1438</v>
      </c>
      <c r="B20" s="159"/>
      <c r="C20" s="16"/>
      <c r="D20" s="16"/>
      <c r="E20" s="16"/>
      <c r="F20" s="16"/>
      <c r="G20" s="16"/>
      <c r="H20" s="16"/>
      <c r="I20" s="160"/>
      <c r="J20" s="160"/>
      <c r="K20" s="160"/>
      <c r="L20" s="160"/>
      <c r="M20" s="160"/>
      <c r="N20" s="160"/>
      <c r="O20" s="160"/>
      <c r="P20" s="16"/>
      <c r="Q20" s="16"/>
      <c r="R20" s="16"/>
      <c r="S20" s="16"/>
      <c r="T20" s="16"/>
      <c r="U20" s="37"/>
    </row>
    <row r="21" spans="1:21">
      <c r="A21" s="167" t="s">
        <v>1439</v>
      </c>
      <c r="B21" s="161"/>
      <c r="C21" s="64"/>
      <c r="D21" s="64"/>
      <c r="E21" s="64"/>
      <c r="F21" s="64"/>
      <c r="G21" s="64"/>
      <c r="H21" s="64"/>
      <c r="I21" s="162"/>
      <c r="J21" s="162"/>
      <c r="K21" s="162"/>
      <c r="L21" s="162"/>
      <c r="M21" s="162"/>
      <c r="N21" s="162"/>
      <c r="O21" s="162"/>
      <c r="P21" s="64"/>
      <c r="Q21" s="64"/>
      <c r="R21" s="64"/>
      <c r="S21" s="64"/>
      <c r="T21" s="64"/>
      <c r="U21" s="70"/>
    </row>
    <row r="22" spans="1:21" ht="21" thickBot="1">
      <c r="A22" s="168" t="s">
        <v>1440</v>
      </c>
      <c r="B22" s="153"/>
      <c r="C22" s="58"/>
      <c r="D22" s="58"/>
      <c r="E22" s="58"/>
      <c r="F22" s="58"/>
      <c r="G22" s="58"/>
      <c r="H22" s="58"/>
      <c r="I22" s="154"/>
      <c r="J22" s="154"/>
      <c r="K22" s="154"/>
      <c r="L22" s="154"/>
      <c r="M22" s="154"/>
      <c r="N22" s="154"/>
      <c r="O22" s="154"/>
      <c r="P22" s="58"/>
      <c r="Q22" s="58"/>
      <c r="R22" s="58"/>
      <c r="S22" s="58"/>
      <c r="T22" s="58"/>
      <c r="U22" s="59"/>
    </row>
    <row r="23" spans="1:21">
      <c r="A23" s="112" t="s">
        <v>1441</v>
      </c>
      <c r="B23" s="155"/>
      <c r="C23" s="156"/>
      <c r="D23" s="156"/>
      <c r="E23" s="156"/>
      <c r="F23" s="156"/>
      <c r="G23" s="156"/>
      <c r="H23" s="156"/>
      <c r="I23" s="157"/>
      <c r="J23" s="157"/>
      <c r="K23" s="157"/>
      <c r="L23" s="157"/>
      <c r="M23" s="157"/>
      <c r="N23" s="157"/>
      <c r="O23" s="157"/>
      <c r="P23" s="156"/>
      <c r="Q23" s="156"/>
      <c r="R23" s="156"/>
      <c r="S23" s="156"/>
      <c r="T23" s="156"/>
      <c r="U23" s="158"/>
    </row>
    <row r="24" spans="1:21" ht="21" thickBot="1">
      <c r="A24" s="114" t="s">
        <v>1442</v>
      </c>
      <c r="B24" s="159"/>
      <c r="C24" s="16"/>
      <c r="D24" s="16"/>
      <c r="E24" s="16"/>
      <c r="F24" s="16"/>
      <c r="G24" s="16"/>
      <c r="H24" s="16"/>
      <c r="I24" s="160"/>
      <c r="J24" s="160"/>
      <c r="K24" s="160"/>
      <c r="L24" s="160"/>
      <c r="M24" s="160"/>
      <c r="N24" s="160"/>
      <c r="O24" s="160"/>
      <c r="P24" s="16"/>
      <c r="Q24" s="16"/>
      <c r="R24" s="16"/>
      <c r="S24" s="16"/>
      <c r="T24" s="16"/>
      <c r="U24" s="37"/>
    </row>
  </sheetData>
  <phoneticPr fontId="1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91BAE-A4AF-BE47-A297-7519A32851BB}">
  <sheetPr codeName="Sheet3"/>
  <dimension ref="A1:V101"/>
  <sheetViews>
    <sheetView zoomScale="120" zoomScaleNormal="120" workbookViewId="0">
      <selection activeCell="C27" sqref="C27"/>
    </sheetView>
  </sheetViews>
  <sheetFormatPr baseColWidth="10" defaultRowHeight="20"/>
  <cols>
    <col min="1" max="1" width="21.42578125" style="6" bestFit="1" customWidth="1"/>
    <col min="2" max="2" width="12.5703125" style="2" customWidth="1"/>
    <col min="3" max="4" width="22.28515625" style="2" customWidth="1"/>
    <col min="5" max="6" width="12.7109375" style="2" customWidth="1"/>
    <col min="7" max="7" width="16.5703125" style="2" customWidth="1"/>
    <col min="8" max="8" width="15.85546875" style="1" bestFit="1" customWidth="1"/>
    <col min="9" max="9" width="29.140625" style="1" customWidth="1"/>
    <col min="10" max="12" width="5.7109375" style="23" customWidth="1"/>
    <col min="13" max="13" width="13.7109375" style="23" bestFit="1" customWidth="1"/>
    <col min="14" max="14" width="9.28515625" style="1" bestFit="1" customWidth="1"/>
    <col min="15" max="15" width="10.42578125" style="1" bestFit="1" customWidth="1"/>
    <col min="16" max="16" width="9.42578125" style="1" bestFit="1" customWidth="1"/>
    <col min="17" max="18" width="8.7109375" style="1" bestFit="1" customWidth="1"/>
    <col min="19" max="19" width="9.42578125" style="1" bestFit="1" customWidth="1"/>
    <col min="20" max="20" width="13.85546875" style="2" bestFit="1" customWidth="1"/>
    <col min="21" max="21" width="17.5703125" style="27" bestFit="1" customWidth="1"/>
    <col min="22" max="22" width="38.28515625" style="1" customWidth="1"/>
    <col min="23" max="16384" width="10.7109375" style="1"/>
  </cols>
  <sheetData>
    <row r="1" spans="1:22" ht="21" thickBot="1">
      <c r="A1" s="87" t="s">
        <v>1</v>
      </c>
      <c r="B1" s="10" t="s">
        <v>1394</v>
      </c>
      <c r="C1" s="10" t="str">
        <f>登録票!C5</f>
        <v>111-222-333</v>
      </c>
    </row>
    <row r="2" spans="1:22" ht="21" thickBot="1">
      <c r="A2" s="88"/>
      <c r="B2" s="17" t="s">
        <v>1375</v>
      </c>
      <c r="C2" s="137">
        <f>登録票!C6</f>
        <v>25569</v>
      </c>
      <c r="D2" s="9"/>
      <c r="E2" s="9"/>
      <c r="F2" s="9"/>
    </row>
    <row r="3" spans="1:22" ht="21" thickBot="1">
      <c r="A3" s="89"/>
      <c r="B3" s="11" t="s">
        <v>1294</v>
      </c>
      <c r="C3" s="10" t="str">
        <f>登録票!C9</f>
        <v>女</v>
      </c>
    </row>
    <row r="4" spans="1:22" ht="22" thickBot="1">
      <c r="A4" s="20" t="s">
        <v>1179</v>
      </c>
      <c r="B4" s="29" t="s">
        <v>1113</v>
      </c>
      <c r="C4" s="29" t="s">
        <v>1119</v>
      </c>
      <c r="D4" s="29" t="s">
        <v>1182</v>
      </c>
      <c r="E4" s="29" t="s">
        <v>1178</v>
      </c>
      <c r="F4" s="29" t="s">
        <v>1366</v>
      </c>
      <c r="G4" s="29" t="s">
        <v>975</v>
      </c>
      <c r="H4" s="30" t="s">
        <v>1002</v>
      </c>
      <c r="I4" s="29" t="s">
        <v>953</v>
      </c>
      <c r="J4" s="31" t="s">
        <v>1141</v>
      </c>
      <c r="K4" s="31" t="s">
        <v>1142</v>
      </c>
      <c r="L4" s="31" t="s">
        <v>1143</v>
      </c>
      <c r="M4" s="31" t="s">
        <v>1153</v>
      </c>
      <c r="N4" s="30" t="s">
        <v>66</v>
      </c>
      <c r="O4" s="30" t="s">
        <v>21</v>
      </c>
      <c r="P4" s="29" t="s">
        <v>5</v>
      </c>
      <c r="Q4" s="30" t="s">
        <v>57</v>
      </c>
      <c r="R4" s="30" t="s">
        <v>58</v>
      </c>
      <c r="S4" s="29" t="s">
        <v>59</v>
      </c>
      <c r="T4" s="29" t="s">
        <v>1162</v>
      </c>
      <c r="U4" s="32" t="s">
        <v>1120</v>
      </c>
      <c r="V4" s="33" t="s">
        <v>1138</v>
      </c>
    </row>
    <row r="5" spans="1:22" ht="42">
      <c r="A5" s="95" t="s">
        <v>1020</v>
      </c>
      <c r="B5" s="96">
        <v>35643</v>
      </c>
      <c r="C5" s="169" t="s">
        <v>44</v>
      </c>
      <c r="D5" s="169"/>
      <c r="E5" s="169"/>
      <c r="F5" s="169"/>
      <c r="G5" s="97" t="s">
        <v>1155</v>
      </c>
      <c r="H5" s="98" t="s">
        <v>26</v>
      </c>
      <c r="I5" s="99" t="s">
        <v>518</v>
      </c>
      <c r="J5" s="100" t="s">
        <v>1152</v>
      </c>
      <c r="K5" s="100" t="s">
        <v>1151</v>
      </c>
      <c r="L5" s="100" t="s">
        <v>1151</v>
      </c>
      <c r="M5" s="100" t="s">
        <v>1248</v>
      </c>
      <c r="N5" s="98" t="s">
        <v>1114</v>
      </c>
      <c r="O5" s="98" t="s">
        <v>1115</v>
      </c>
      <c r="P5" s="169" t="s">
        <v>1117</v>
      </c>
      <c r="Q5" s="98" t="s">
        <v>1117</v>
      </c>
      <c r="R5" s="98" t="s">
        <v>1118</v>
      </c>
      <c r="S5" s="169" t="s">
        <v>1116</v>
      </c>
      <c r="T5" s="96">
        <v>45536</v>
      </c>
      <c r="U5" s="97" t="s">
        <v>1156</v>
      </c>
      <c r="V5" s="101"/>
    </row>
    <row r="6" spans="1:22" ht="42">
      <c r="A6" s="102" t="s">
        <v>23</v>
      </c>
      <c r="B6" s="103">
        <v>36831</v>
      </c>
      <c r="C6" s="104" t="s">
        <v>1167</v>
      </c>
      <c r="D6" s="105" t="s">
        <v>1149</v>
      </c>
      <c r="E6" s="103">
        <v>45597</v>
      </c>
      <c r="F6" s="103"/>
      <c r="G6" s="106" t="s">
        <v>999</v>
      </c>
      <c r="H6" s="105" t="s">
        <v>942</v>
      </c>
      <c r="I6" s="107" t="s">
        <v>385</v>
      </c>
      <c r="J6" s="108" t="s">
        <v>1168</v>
      </c>
      <c r="K6" s="108" t="s">
        <v>1152</v>
      </c>
      <c r="L6" s="108" t="s">
        <v>1151</v>
      </c>
      <c r="M6" s="108" t="s">
        <v>1251</v>
      </c>
      <c r="N6" s="105" t="s">
        <v>1114</v>
      </c>
      <c r="O6" s="105" t="s">
        <v>1115</v>
      </c>
      <c r="P6" s="104"/>
      <c r="Q6" s="105"/>
      <c r="R6" s="105"/>
      <c r="S6" s="104"/>
      <c r="T6" s="103">
        <v>45611</v>
      </c>
      <c r="U6" s="106" t="s">
        <v>1170</v>
      </c>
      <c r="V6" s="110" t="s">
        <v>1169</v>
      </c>
    </row>
    <row r="7" spans="1:22" ht="42">
      <c r="A7" s="102" t="s">
        <v>1180</v>
      </c>
      <c r="B7" s="103">
        <v>41764</v>
      </c>
      <c r="C7" s="104" t="s">
        <v>1181</v>
      </c>
      <c r="D7" s="105" t="s">
        <v>33</v>
      </c>
      <c r="E7" s="103">
        <v>45417</v>
      </c>
      <c r="F7" s="103"/>
      <c r="G7" s="106" t="s">
        <v>1049</v>
      </c>
      <c r="H7" s="105" t="s">
        <v>29</v>
      </c>
      <c r="I7" s="107" t="s">
        <v>434</v>
      </c>
      <c r="J7" s="108">
        <v>1</v>
      </c>
      <c r="K7" s="108" t="s">
        <v>1151</v>
      </c>
      <c r="L7" s="108" t="s">
        <v>1151</v>
      </c>
      <c r="M7" s="109" t="s">
        <v>1247</v>
      </c>
      <c r="N7" s="105" t="s">
        <v>1114</v>
      </c>
      <c r="O7" s="105" t="s">
        <v>1115</v>
      </c>
      <c r="P7" s="104" t="s">
        <v>1116</v>
      </c>
      <c r="Q7" s="105" t="s">
        <v>1118</v>
      </c>
      <c r="R7" s="105" t="s">
        <v>1118</v>
      </c>
      <c r="S7" s="104" t="s">
        <v>1116</v>
      </c>
      <c r="T7" s="103">
        <v>45444</v>
      </c>
      <c r="U7" s="106" t="s">
        <v>1137</v>
      </c>
      <c r="V7" s="110"/>
    </row>
    <row r="8" spans="1:22" ht="21">
      <c r="A8" s="102" t="s">
        <v>23</v>
      </c>
      <c r="B8" s="103">
        <v>45292</v>
      </c>
      <c r="C8" s="103" t="s">
        <v>1145</v>
      </c>
      <c r="D8" s="103"/>
      <c r="E8" s="103"/>
      <c r="F8" s="103"/>
      <c r="G8" s="106"/>
      <c r="H8" s="105"/>
      <c r="I8" s="107"/>
      <c r="J8" s="108"/>
      <c r="K8" s="108"/>
      <c r="L8" s="108"/>
      <c r="M8" s="108"/>
      <c r="N8" s="105"/>
      <c r="O8" s="105"/>
      <c r="P8" s="103"/>
      <c r="Q8" s="105"/>
      <c r="R8" s="105"/>
      <c r="S8" s="103"/>
      <c r="T8" s="103"/>
      <c r="U8" s="106" t="s">
        <v>1146</v>
      </c>
      <c r="V8" s="110" t="s">
        <v>1219</v>
      </c>
    </row>
    <row r="9" spans="1:22" ht="21">
      <c r="A9" s="102" t="s">
        <v>954</v>
      </c>
      <c r="B9" s="103">
        <v>45474</v>
      </c>
      <c r="C9" s="104" t="s">
        <v>1148</v>
      </c>
      <c r="D9" s="104"/>
      <c r="E9" s="104"/>
      <c r="F9" s="104"/>
      <c r="G9" s="106"/>
      <c r="H9" s="105"/>
      <c r="I9" s="107"/>
      <c r="J9" s="108"/>
      <c r="K9" s="108"/>
      <c r="L9" s="108"/>
      <c r="M9" s="108"/>
      <c r="N9" s="105"/>
      <c r="O9" s="105"/>
      <c r="P9" s="104"/>
      <c r="Q9" s="105"/>
      <c r="R9" s="105"/>
      <c r="S9" s="104"/>
      <c r="T9" s="103"/>
      <c r="U9" s="106" t="s">
        <v>1150</v>
      </c>
      <c r="V9" s="110"/>
    </row>
    <row r="10" spans="1:22" ht="42">
      <c r="A10" s="102" t="s">
        <v>31</v>
      </c>
      <c r="B10" s="103">
        <v>45536</v>
      </c>
      <c r="C10" s="104" t="s">
        <v>1154</v>
      </c>
      <c r="D10" s="105" t="s">
        <v>1022</v>
      </c>
      <c r="E10" s="103">
        <v>45550</v>
      </c>
      <c r="F10" s="103"/>
      <c r="G10" s="106" t="s">
        <v>1157</v>
      </c>
      <c r="H10" s="105" t="s">
        <v>958</v>
      </c>
      <c r="I10" s="107" t="s">
        <v>473</v>
      </c>
      <c r="J10" s="108" t="s">
        <v>1152</v>
      </c>
      <c r="K10" s="108" t="s">
        <v>1152</v>
      </c>
      <c r="L10" s="108" t="s">
        <v>1151</v>
      </c>
      <c r="M10" s="108" t="s">
        <v>1249</v>
      </c>
      <c r="N10" s="105"/>
      <c r="O10" s="105"/>
      <c r="P10" s="104"/>
      <c r="Q10" s="105"/>
      <c r="R10" s="105"/>
      <c r="S10" s="104"/>
      <c r="T10" s="103">
        <v>45566</v>
      </c>
      <c r="U10" s="106" t="s">
        <v>1160</v>
      </c>
      <c r="V10" s="110"/>
    </row>
    <row r="11" spans="1:22" ht="21">
      <c r="A11" s="102" t="s">
        <v>32</v>
      </c>
      <c r="B11" s="103">
        <v>45566</v>
      </c>
      <c r="C11" s="104" t="s">
        <v>1163</v>
      </c>
      <c r="D11" s="105"/>
      <c r="E11" s="104"/>
      <c r="F11" s="104"/>
      <c r="G11" s="106" t="s">
        <v>1164</v>
      </c>
      <c r="H11" s="105" t="s">
        <v>944</v>
      </c>
      <c r="I11" s="107" t="s">
        <v>421</v>
      </c>
      <c r="J11" s="108" t="s">
        <v>1158</v>
      </c>
      <c r="K11" s="108" t="s">
        <v>1158</v>
      </c>
      <c r="L11" s="108" t="s">
        <v>1152</v>
      </c>
      <c r="M11" s="108" t="s">
        <v>1250</v>
      </c>
      <c r="N11" s="105" t="s">
        <v>1114</v>
      </c>
      <c r="O11" s="105" t="s">
        <v>1117</v>
      </c>
      <c r="P11" s="104" t="s">
        <v>1117</v>
      </c>
      <c r="Q11" s="105" t="s">
        <v>1117</v>
      </c>
      <c r="R11" s="105" t="s">
        <v>1117</v>
      </c>
      <c r="S11" s="104" t="s">
        <v>1117</v>
      </c>
      <c r="T11" s="103">
        <v>45597</v>
      </c>
      <c r="U11" s="106" t="s">
        <v>1165</v>
      </c>
      <c r="V11" s="110" t="s">
        <v>1166</v>
      </c>
    </row>
    <row r="12" spans="1:22" ht="42">
      <c r="A12" s="102" t="s">
        <v>23</v>
      </c>
      <c r="B12" s="103">
        <v>45611</v>
      </c>
      <c r="C12" s="104" t="s">
        <v>14</v>
      </c>
      <c r="D12" s="104" t="s">
        <v>1149</v>
      </c>
      <c r="E12" s="103">
        <v>45611</v>
      </c>
      <c r="F12" s="103"/>
      <c r="G12" s="106" t="s">
        <v>992</v>
      </c>
      <c r="H12" s="105" t="s">
        <v>942</v>
      </c>
      <c r="I12" s="107" t="s">
        <v>385</v>
      </c>
      <c r="J12" s="108">
        <v>1</v>
      </c>
      <c r="K12" s="108">
        <v>0</v>
      </c>
      <c r="L12" s="108">
        <v>0</v>
      </c>
      <c r="M12" s="108" t="s">
        <v>1247</v>
      </c>
      <c r="N12" s="105"/>
      <c r="O12" s="105"/>
      <c r="P12" s="104"/>
      <c r="Q12" s="105"/>
      <c r="R12" s="105"/>
      <c r="S12" s="104"/>
      <c r="T12" s="103">
        <v>45657</v>
      </c>
      <c r="U12" s="106" t="s">
        <v>1122</v>
      </c>
      <c r="V12" s="110"/>
    </row>
    <row r="13" spans="1:22">
      <c r="A13" s="93" t="s">
        <v>23</v>
      </c>
      <c r="B13" s="13">
        <v>45638</v>
      </c>
      <c r="C13" s="14" t="s">
        <v>1447</v>
      </c>
      <c r="D13" s="14"/>
      <c r="E13" s="14"/>
      <c r="F13" s="14"/>
      <c r="G13" s="21"/>
      <c r="H13" s="12"/>
      <c r="I13" s="18"/>
      <c r="J13" s="24"/>
      <c r="K13" s="24"/>
      <c r="L13" s="24"/>
      <c r="M13" s="24"/>
      <c r="N13" s="12"/>
      <c r="O13" s="12"/>
      <c r="P13" s="14"/>
      <c r="Q13" s="12"/>
      <c r="R13" s="12"/>
      <c r="S13" s="14"/>
      <c r="T13" s="14"/>
      <c r="U13" s="26"/>
      <c r="V13" s="7"/>
    </row>
    <row r="14" spans="1:22" ht="42">
      <c r="A14" s="102" t="s">
        <v>23</v>
      </c>
      <c r="B14" s="103">
        <v>45672</v>
      </c>
      <c r="C14" s="104" t="s">
        <v>14</v>
      </c>
      <c r="D14" s="104" t="s">
        <v>1149</v>
      </c>
      <c r="E14" s="103">
        <v>45611</v>
      </c>
      <c r="F14" s="103"/>
      <c r="G14" s="106" t="s">
        <v>999</v>
      </c>
      <c r="H14" s="105" t="s">
        <v>942</v>
      </c>
      <c r="I14" s="107" t="s">
        <v>385</v>
      </c>
      <c r="J14" s="108">
        <v>2</v>
      </c>
      <c r="K14" s="108">
        <v>1</v>
      </c>
      <c r="L14" s="108">
        <v>0</v>
      </c>
      <c r="M14" s="108" t="s">
        <v>1249</v>
      </c>
      <c r="N14" s="105"/>
      <c r="O14" s="105"/>
      <c r="P14" s="104"/>
      <c r="Q14" s="105"/>
      <c r="R14" s="105"/>
      <c r="S14" s="104"/>
      <c r="T14" s="103">
        <v>45657</v>
      </c>
      <c r="U14" s="106" t="s">
        <v>1126</v>
      </c>
      <c r="V14" s="110"/>
    </row>
    <row r="15" spans="1:22">
      <c r="A15" s="93"/>
      <c r="B15" s="14"/>
      <c r="C15" s="14"/>
      <c r="D15" s="14"/>
      <c r="E15" s="14"/>
      <c r="F15" s="14"/>
      <c r="G15" s="21"/>
      <c r="H15" s="12"/>
      <c r="I15" s="18"/>
      <c r="J15" s="24"/>
      <c r="K15" s="24"/>
      <c r="L15" s="24"/>
      <c r="M15" s="24"/>
      <c r="N15" s="12"/>
      <c r="O15" s="12"/>
      <c r="P15" s="14"/>
      <c r="Q15" s="12"/>
      <c r="R15" s="12"/>
      <c r="S15" s="14"/>
      <c r="T15" s="14"/>
      <c r="U15" s="26"/>
      <c r="V15" s="7"/>
    </row>
    <row r="16" spans="1:22">
      <c r="A16" s="93"/>
      <c r="B16" s="14"/>
      <c r="C16" s="14"/>
      <c r="D16" s="14"/>
      <c r="E16" s="14"/>
      <c r="F16" s="14"/>
      <c r="G16" s="21"/>
      <c r="H16" s="12"/>
      <c r="I16" s="18"/>
      <c r="J16" s="24"/>
      <c r="K16" s="24"/>
      <c r="L16" s="24"/>
      <c r="M16" s="24"/>
      <c r="N16" s="12"/>
      <c r="O16" s="12"/>
      <c r="P16" s="14"/>
      <c r="Q16" s="12"/>
      <c r="R16" s="12"/>
      <c r="S16" s="14"/>
      <c r="T16" s="14"/>
      <c r="U16" s="26"/>
      <c r="V16" s="7"/>
    </row>
    <row r="17" spans="1:22">
      <c r="A17" s="93"/>
      <c r="B17" s="14"/>
      <c r="C17" s="14"/>
      <c r="D17" s="14"/>
      <c r="E17" s="14"/>
      <c r="F17" s="14"/>
      <c r="G17" s="21"/>
      <c r="H17" s="12"/>
      <c r="I17" s="18"/>
      <c r="J17" s="24"/>
      <c r="K17" s="24"/>
      <c r="L17" s="24"/>
      <c r="M17" s="24"/>
      <c r="N17" s="12"/>
      <c r="O17" s="12"/>
      <c r="P17" s="14"/>
      <c r="Q17" s="12"/>
      <c r="R17" s="12"/>
      <c r="S17" s="14"/>
      <c r="T17" s="14"/>
      <c r="U17" s="26"/>
      <c r="V17" s="7"/>
    </row>
    <row r="18" spans="1:22">
      <c r="A18" s="93"/>
      <c r="B18" s="14"/>
      <c r="C18" s="14"/>
      <c r="D18" s="14"/>
      <c r="E18" s="14"/>
      <c r="F18" s="14"/>
      <c r="G18" s="21"/>
      <c r="H18" s="12"/>
      <c r="I18" s="18"/>
      <c r="J18" s="24"/>
      <c r="K18" s="24"/>
      <c r="L18" s="24"/>
      <c r="M18" s="24"/>
      <c r="N18" s="12"/>
      <c r="O18" s="12"/>
      <c r="P18" s="14"/>
      <c r="Q18" s="12"/>
      <c r="R18" s="12"/>
      <c r="S18" s="14"/>
      <c r="T18" s="14"/>
      <c r="U18" s="26"/>
      <c r="V18" s="7"/>
    </row>
    <row r="19" spans="1:22">
      <c r="A19" s="93"/>
      <c r="B19" s="14"/>
      <c r="C19" s="14"/>
      <c r="D19" s="14"/>
      <c r="E19" s="14"/>
      <c r="F19" s="14"/>
      <c r="G19" s="21"/>
      <c r="H19" s="12"/>
      <c r="I19" s="18"/>
      <c r="J19" s="24"/>
      <c r="K19" s="24"/>
      <c r="L19" s="24"/>
      <c r="M19" s="24"/>
      <c r="N19" s="12"/>
      <c r="O19" s="12"/>
      <c r="P19" s="14"/>
      <c r="Q19" s="12"/>
      <c r="R19" s="12"/>
      <c r="S19" s="14"/>
      <c r="T19" s="14"/>
      <c r="U19" s="26"/>
      <c r="V19" s="7"/>
    </row>
    <row r="20" spans="1:22">
      <c r="A20" s="93"/>
      <c r="B20" s="14"/>
      <c r="C20" s="14"/>
      <c r="D20" s="14"/>
      <c r="E20" s="14"/>
      <c r="F20" s="14"/>
      <c r="G20" s="21"/>
      <c r="H20" s="12"/>
      <c r="I20" s="18"/>
      <c r="J20" s="24"/>
      <c r="K20" s="24"/>
      <c r="L20" s="24"/>
      <c r="M20" s="24"/>
      <c r="N20" s="12"/>
      <c r="O20" s="12"/>
      <c r="P20" s="14"/>
      <c r="Q20" s="12"/>
      <c r="R20" s="12"/>
      <c r="S20" s="14"/>
      <c r="T20" s="14"/>
      <c r="U20" s="26"/>
      <c r="V20" s="7"/>
    </row>
    <row r="21" spans="1:22">
      <c r="A21" s="93"/>
      <c r="B21" s="14"/>
      <c r="C21" s="14"/>
      <c r="D21" s="14"/>
      <c r="E21" s="14"/>
      <c r="F21" s="14"/>
      <c r="G21" s="21"/>
      <c r="H21" s="12"/>
      <c r="I21" s="18"/>
      <c r="J21" s="24"/>
      <c r="K21" s="24"/>
      <c r="L21" s="24"/>
      <c r="M21" s="24"/>
      <c r="N21" s="12"/>
      <c r="O21" s="12"/>
      <c r="P21" s="14"/>
      <c r="Q21" s="12"/>
      <c r="R21" s="12"/>
      <c r="S21" s="14"/>
      <c r="T21" s="14"/>
      <c r="U21" s="26"/>
      <c r="V21" s="7"/>
    </row>
    <row r="22" spans="1:22">
      <c r="A22" s="93"/>
      <c r="B22" s="14"/>
      <c r="C22" s="14"/>
      <c r="D22" s="14"/>
      <c r="E22" s="14"/>
      <c r="F22" s="14"/>
      <c r="G22" s="21"/>
      <c r="H22" s="12"/>
      <c r="I22" s="18"/>
      <c r="J22" s="24"/>
      <c r="K22" s="24"/>
      <c r="L22" s="24"/>
      <c r="M22" s="24"/>
      <c r="N22" s="12"/>
      <c r="O22" s="12"/>
      <c r="P22" s="14"/>
      <c r="Q22" s="12"/>
      <c r="R22" s="12"/>
      <c r="S22" s="14"/>
      <c r="T22" s="14"/>
      <c r="U22" s="26"/>
      <c r="V22" s="7"/>
    </row>
    <row r="23" spans="1:22">
      <c r="A23" s="93"/>
      <c r="B23" s="14"/>
      <c r="C23" s="14"/>
      <c r="D23" s="14"/>
      <c r="E23" s="14"/>
      <c r="F23" s="14"/>
      <c r="G23" s="21"/>
      <c r="H23" s="12"/>
      <c r="I23" s="18"/>
      <c r="J23" s="24"/>
      <c r="K23" s="24"/>
      <c r="L23" s="24"/>
      <c r="M23" s="24"/>
      <c r="N23" s="12"/>
      <c r="O23" s="12"/>
      <c r="P23" s="14"/>
      <c r="Q23" s="12"/>
      <c r="R23" s="12"/>
      <c r="S23" s="14"/>
      <c r="T23" s="14"/>
      <c r="U23" s="26"/>
      <c r="V23" s="7"/>
    </row>
    <row r="24" spans="1:22">
      <c r="A24" s="93"/>
      <c r="B24" s="14"/>
      <c r="C24" s="14"/>
      <c r="D24" s="14"/>
      <c r="E24" s="14"/>
      <c r="F24" s="14"/>
      <c r="G24" s="21"/>
      <c r="H24" s="12"/>
      <c r="I24" s="18"/>
      <c r="J24" s="24"/>
      <c r="K24" s="24"/>
      <c r="L24" s="24"/>
      <c r="M24" s="24"/>
      <c r="N24" s="12"/>
      <c r="O24" s="12"/>
      <c r="P24" s="14"/>
      <c r="Q24" s="12"/>
      <c r="R24" s="12"/>
      <c r="S24" s="14"/>
      <c r="T24" s="14"/>
      <c r="U24" s="26"/>
      <c r="V24" s="7"/>
    </row>
    <row r="25" spans="1:22">
      <c r="A25" s="93"/>
      <c r="B25" s="14"/>
      <c r="C25" s="14"/>
      <c r="D25" s="14"/>
      <c r="E25" s="14"/>
      <c r="F25" s="14"/>
      <c r="G25" s="21"/>
      <c r="H25" s="12"/>
      <c r="I25" s="18"/>
      <c r="J25" s="24"/>
      <c r="K25" s="24"/>
      <c r="L25" s="24"/>
      <c r="M25" s="24"/>
      <c r="N25" s="12"/>
      <c r="O25" s="12"/>
      <c r="P25" s="14"/>
      <c r="Q25" s="12"/>
      <c r="R25" s="12"/>
      <c r="S25" s="14"/>
      <c r="T25" s="14"/>
      <c r="U25" s="26"/>
      <c r="V25" s="7"/>
    </row>
    <row r="26" spans="1:22">
      <c r="A26" s="93"/>
      <c r="B26" s="14"/>
      <c r="C26" s="14"/>
      <c r="D26" s="14"/>
      <c r="E26" s="14"/>
      <c r="F26" s="14"/>
      <c r="G26" s="21"/>
      <c r="H26" s="12"/>
      <c r="I26" s="18"/>
      <c r="J26" s="24"/>
      <c r="K26" s="24"/>
      <c r="L26" s="24"/>
      <c r="M26" s="24"/>
      <c r="N26" s="12"/>
      <c r="O26" s="12"/>
      <c r="P26" s="14"/>
      <c r="Q26" s="12"/>
      <c r="R26" s="12"/>
      <c r="S26" s="14"/>
      <c r="T26" s="14"/>
      <c r="U26" s="26"/>
      <c r="V26" s="7"/>
    </row>
    <row r="27" spans="1:22">
      <c r="A27" s="93"/>
      <c r="B27" s="14"/>
      <c r="C27" s="14"/>
      <c r="D27" s="14"/>
      <c r="E27" s="14"/>
      <c r="F27" s="14"/>
      <c r="G27" s="21"/>
      <c r="H27" s="12"/>
      <c r="I27" s="18"/>
      <c r="J27" s="24"/>
      <c r="K27" s="24"/>
      <c r="L27" s="24"/>
      <c r="M27" s="24"/>
      <c r="N27" s="12"/>
      <c r="O27" s="12"/>
      <c r="P27" s="14"/>
      <c r="Q27" s="12"/>
      <c r="R27" s="12"/>
      <c r="S27" s="14"/>
      <c r="T27" s="14"/>
      <c r="U27" s="26"/>
      <c r="V27" s="7"/>
    </row>
    <row r="28" spans="1:22">
      <c r="A28" s="93"/>
      <c r="B28" s="14"/>
      <c r="C28" s="14"/>
      <c r="D28" s="14"/>
      <c r="E28" s="14"/>
      <c r="F28" s="14"/>
      <c r="G28" s="21"/>
      <c r="H28" s="12"/>
      <c r="I28" s="18"/>
      <c r="J28" s="24"/>
      <c r="K28" s="24"/>
      <c r="L28" s="24"/>
      <c r="M28" s="24"/>
      <c r="N28" s="12"/>
      <c r="O28" s="12"/>
      <c r="P28" s="14"/>
      <c r="Q28" s="12"/>
      <c r="R28" s="12"/>
      <c r="S28" s="14"/>
      <c r="T28" s="14"/>
      <c r="U28" s="26"/>
      <c r="V28" s="7"/>
    </row>
    <row r="29" spans="1:22">
      <c r="A29" s="93"/>
      <c r="B29" s="14"/>
      <c r="C29" s="14"/>
      <c r="D29" s="14"/>
      <c r="E29" s="14"/>
      <c r="F29" s="14"/>
      <c r="G29" s="21"/>
      <c r="H29" s="12"/>
      <c r="I29" s="18"/>
      <c r="J29" s="24"/>
      <c r="K29" s="24"/>
      <c r="L29" s="24"/>
      <c r="M29" s="24"/>
      <c r="N29" s="12"/>
      <c r="O29" s="12"/>
      <c r="P29" s="14"/>
      <c r="Q29" s="12"/>
      <c r="R29" s="12"/>
      <c r="S29" s="14"/>
      <c r="T29" s="14"/>
      <c r="U29" s="26"/>
      <c r="V29" s="7"/>
    </row>
    <row r="30" spans="1:22">
      <c r="A30" s="93"/>
      <c r="B30" s="14"/>
      <c r="C30" s="14"/>
      <c r="D30" s="14"/>
      <c r="E30" s="14"/>
      <c r="F30" s="14"/>
      <c r="G30" s="21"/>
      <c r="H30" s="12"/>
      <c r="I30" s="18"/>
      <c r="J30" s="24"/>
      <c r="K30" s="24"/>
      <c r="L30" s="24"/>
      <c r="M30" s="24"/>
      <c r="N30" s="12"/>
      <c r="O30" s="12"/>
      <c r="P30" s="14"/>
      <c r="Q30" s="12"/>
      <c r="R30" s="12"/>
      <c r="S30" s="14"/>
      <c r="T30" s="14"/>
      <c r="U30" s="26"/>
      <c r="V30" s="7"/>
    </row>
    <row r="31" spans="1:22">
      <c r="A31" s="93"/>
      <c r="B31" s="14"/>
      <c r="C31" s="14"/>
      <c r="D31" s="14"/>
      <c r="E31" s="14"/>
      <c r="F31" s="14"/>
      <c r="G31" s="21"/>
      <c r="H31" s="12"/>
      <c r="I31" s="18"/>
      <c r="J31" s="24"/>
      <c r="K31" s="24"/>
      <c r="L31" s="24"/>
      <c r="M31" s="24"/>
      <c r="N31" s="12"/>
      <c r="O31" s="12"/>
      <c r="P31" s="14"/>
      <c r="Q31" s="12"/>
      <c r="R31" s="12"/>
      <c r="S31" s="14"/>
      <c r="T31" s="14"/>
      <c r="U31" s="26"/>
      <c r="V31" s="7"/>
    </row>
    <row r="32" spans="1:22">
      <c r="A32" s="93"/>
      <c r="B32" s="14"/>
      <c r="C32" s="14"/>
      <c r="D32" s="14"/>
      <c r="E32" s="14"/>
      <c r="F32" s="14"/>
      <c r="G32" s="21"/>
      <c r="H32" s="12"/>
      <c r="I32" s="18"/>
      <c r="J32" s="24"/>
      <c r="K32" s="24"/>
      <c r="L32" s="24"/>
      <c r="M32" s="24"/>
      <c r="N32" s="12"/>
      <c r="O32" s="12"/>
      <c r="P32" s="14"/>
      <c r="Q32" s="12"/>
      <c r="R32" s="12"/>
      <c r="S32" s="14"/>
      <c r="T32" s="14"/>
      <c r="U32" s="26"/>
      <c r="V32" s="7"/>
    </row>
    <row r="33" spans="1:22">
      <c r="A33" s="93"/>
      <c r="B33" s="14"/>
      <c r="C33" s="14"/>
      <c r="D33" s="14"/>
      <c r="E33" s="14"/>
      <c r="F33" s="14"/>
      <c r="G33" s="21"/>
      <c r="H33" s="12"/>
      <c r="I33" s="18"/>
      <c r="J33" s="24"/>
      <c r="K33" s="24"/>
      <c r="L33" s="24"/>
      <c r="M33" s="24"/>
      <c r="N33" s="12"/>
      <c r="O33" s="12"/>
      <c r="P33" s="14"/>
      <c r="Q33" s="12"/>
      <c r="R33" s="12"/>
      <c r="S33" s="14"/>
      <c r="T33" s="14"/>
      <c r="U33" s="26"/>
      <c r="V33" s="7"/>
    </row>
    <row r="34" spans="1:22">
      <c r="A34" s="93"/>
      <c r="B34" s="14"/>
      <c r="C34" s="14"/>
      <c r="D34" s="14"/>
      <c r="E34" s="14"/>
      <c r="F34" s="14"/>
      <c r="G34" s="21"/>
      <c r="H34" s="12"/>
      <c r="I34" s="18"/>
      <c r="J34" s="24"/>
      <c r="K34" s="24"/>
      <c r="L34" s="24"/>
      <c r="M34" s="24"/>
      <c r="N34" s="12"/>
      <c r="O34" s="12"/>
      <c r="P34" s="14"/>
      <c r="Q34" s="12"/>
      <c r="R34" s="12"/>
      <c r="S34" s="14"/>
      <c r="T34" s="14"/>
      <c r="U34" s="26"/>
      <c r="V34" s="7"/>
    </row>
    <row r="35" spans="1:22">
      <c r="A35" s="93"/>
      <c r="B35" s="14"/>
      <c r="C35" s="14"/>
      <c r="D35" s="14"/>
      <c r="E35" s="14"/>
      <c r="F35" s="14"/>
      <c r="G35" s="21"/>
      <c r="H35" s="12"/>
      <c r="I35" s="18"/>
      <c r="J35" s="24"/>
      <c r="K35" s="24"/>
      <c r="L35" s="24"/>
      <c r="M35" s="24"/>
      <c r="N35" s="12"/>
      <c r="O35" s="12"/>
      <c r="P35" s="14"/>
      <c r="Q35" s="12"/>
      <c r="R35" s="12"/>
      <c r="S35" s="14"/>
      <c r="T35" s="14"/>
      <c r="U35" s="26"/>
      <c r="V35" s="7"/>
    </row>
    <row r="36" spans="1:22">
      <c r="A36" s="93"/>
      <c r="B36" s="14"/>
      <c r="C36" s="14"/>
      <c r="D36" s="14"/>
      <c r="E36" s="14"/>
      <c r="F36" s="14"/>
      <c r="G36" s="21"/>
      <c r="H36" s="12"/>
      <c r="I36" s="18"/>
      <c r="J36" s="24"/>
      <c r="K36" s="24"/>
      <c r="L36" s="24"/>
      <c r="M36" s="24"/>
      <c r="N36" s="12"/>
      <c r="O36" s="12"/>
      <c r="P36" s="14"/>
      <c r="Q36" s="12"/>
      <c r="R36" s="12"/>
      <c r="S36" s="14"/>
      <c r="T36" s="14"/>
      <c r="U36" s="26"/>
      <c r="V36" s="7"/>
    </row>
    <row r="37" spans="1:22">
      <c r="A37" s="93"/>
      <c r="B37" s="14"/>
      <c r="C37" s="14"/>
      <c r="D37" s="14"/>
      <c r="E37" s="14"/>
      <c r="F37" s="14"/>
      <c r="G37" s="21"/>
      <c r="H37" s="12"/>
      <c r="I37" s="18"/>
      <c r="J37" s="24"/>
      <c r="K37" s="24"/>
      <c r="L37" s="24"/>
      <c r="M37" s="24"/>
      <c r="N37" s="12"/>
      <c r="O37" s="12"/>
      <c r="P37" s="14"/>
      <c r="Q37" s="12"/>
      <c r="R37" s="12"/>
      <c r="S37" s="14"/>
      <c r="T37" s="14"/>
      <c r="U37" s="26"/>
      <c r="V37" s="7"/>
    </row>
    <row r="38" spans="1:22">
      <c r="A38" s="93"/>
      <c r="B38" s="14"/>
      <c r="C38" s="14"/>
      <c r="D38" s="14"/>
      <c r="E38" s="14"/>
      <c r="F38" s="14"/>
      <c r="G38" s="21"/>
      <c r="H38" s="12"/>
      <c r="I38" s="18"/>
      <c r="J38" s="24"/>
      <c r="K38" s="24"/>
      <c r="L38" s="24"/>
      <c r="M38" s="24"/>
      <c r="N38" s="12"/>
      <c r="O38" s="12"/>
      <c r="P38" s="14"/>
      <c r="Q38" s="12"/>
      <c r="R38" s="12"/>
      <c r="S38" s="14"/>
      <c r="T38" s="14"/>
      <c r="U38" s="26"/>
      <c r="V38" s="7"/>
    </row>
    <row r="39" spans="1:22">
      <c r="A39" s="93"/>
      <c r="B39" s="14"/>
      <c r="C39" s="14"/>
      <c r="D39" s="14"/>
      <c r="E39" s="14"/>
      <c r="F39" s="14"/>
      <c r="G39" s="21"/>
      <c r="H39" s="12"/>
      <c r="I39" s="18"/>
      <c r="J39" s="24"/>
      <c r="K39" s="24"/>
      <c r="L39" s="24"/>
      <c r="M39" s="24"/>
      <c r="N39" s="12"/>
      <c r="O39" s="12"/>
      <c r="P39" s="14"/>
      <c r="Q39" s="12"/>
      <c r="R39" s="12"/>
      <c r="S39" s="14"/>
      <c r="T39" s="14"/>
      <c r="U39" s="26"/>
      <c r="V39" s="7"/>
    </row>
    <row r="40" spans="1:22">
      <c r="A40" s="93"/>
      <c r="B40" s="14"/>
      <c r="C40" s="14"/>
      <c r="D40" s="14"/>
      <c r="E40" s="14"/>
      <c r="F40" s="14"/>
      <c r="G40" s="21"/>
      <c r="H40" s="12"/>
      <c r="I40" s="18"/>
      <c r="J40" s="24"/>
      <c r="K40" s="24"/>
      <c r="L40" s="24"/>
      <c r="M40" s="24"/>
      <c r="N40" s="12"/>
      <c r="O40" s="12"/>
      <c r="P40" s="14"/>
      <c r="Q40" s="12"/>
      <c r="R40" s="12"/>
      <c r="S40" s="14"/>
      <c r="T40" s="14"/>
      <c r="U40" s="26"/>
      <c r="V40" s="7"/>
    </row>
    <row r="41" spans="1:22">
      <c r="A41" s="93"/>
      <c r="B41" s="14"/>
      <c r="C41" s="14"/>
      <c r="D41" s="14"/>
      <c r="E41" s="14"/>
      <c r="F41" s="14"/>
      <c r="G41" s="21"/>
      <c r="H41" s="12"/>
      <c r="I41" s="18"/>
      <c r="J41" s="24"/>
      <c r="K41" s="24"/>
      <c r="L41" s="24"/>
      <c r="M41" s="24"/>
      <c r="N41" s="12"/>
      <c r="O41" s="12"/>
      <c r="P41" s="14"/>
      <c r="Q41" s="12"/>
      <c r="R41" s="12"/>
      <c r="S41" s="14"/>
      <c r="T41" s="14"/>
      <c r="U41" s="26"/>
      <c r="V41" s="7"/>
    </row>
    <row r="42" spans="1:22">
      <c r="A42" s="93"/>
      <c r="B42" s="14"/>
      <c r="C42" s="14"/>
      <c r="D42" s="14"/>
      <c r="E42" s="14"/>
      <c r="F42" s="14"/>
      <c r="G42" s="21"/>
      <c r="H42" s="12"/>
      <c r="I42" s="18"/>
      <c r="J42" s="24"/>
      <c r="K42" s="24"/>
      <c r="L42" s="24"/>
      <c r="M42" s="24"/>
      <c r="N42" s="12"/>
      <c r="O42" s="12"/>
      <c r="P42" s="14"/>
      <c r="Q42" s="12"/>
      <c r="R42" s="12"/>
      <c r="S42" s="14"/>
      <c r="T42" s="14"/>
      <c r="U42" s="26"/>
      <c r="V42" s="7"/>
    </row>
    <row r="43" spans="1:22">
      <c r="A43" s="93"/>
      <c r="B43" s="14"/>
      <c r="C43" s="14"/>
      <c r="D43" s="14"/>
      <c r="E43" s="14"/>
      <c r="F43" s="14"/>
      <c r="G43" s="21"/>
      <c r="H43" s="12"/>
      <c r="I43" s="18"/>
      <c r="J43" s="24"/>
      <c r="K43" s="24"/>
      <c r="L43" s="24"/>
      <c r="M43" s="24"/>
      <c r="N43" s="12"/>
      <c r="O43" s="12"/>
      <c r="P43" s="14"/>
      <c r="Q43" s="12"/>
      <c r="R43" s="12"/>
      <c r="S43" s="14"/>
      <c r="T43" s="14"/>
      <c r="U43" s="26"/>
      <c r="V43" s="7"/>
    </row>
    <row r="44" spans="1:22">
      <c r="A44" s="93"/>
      <c r="B44" s="14"/>
      <c r="C44" s="14"/>
      <c r="D44" s="14"/>
      <c r="E44" s="14"/>
      <c r="F44" s="14"/>
      <c r="G44" s="21"/>
      <c r="H44" s="12"/>
      <c r="I44" s="18"/>
      <c r="J44" s="24"/>
      <c r="K44" s="24"/>
      <c r="L44" s="24"/>
      <c r="M44" s="24"/>
      <c r="N44" s="12"/>
      <c r="O44" s="12"/>
      <c r="P44" s="14"/>
      <c r="Q44" s="12"/>
      <c r="R44" s="12"/>
      <c r="S44" s="14"/>
      <c r="T44" s="14"/>
      <c r="U44" s="26"/>
      <c r="V44" s="7"/>
    </row>
    <row r="45" spans="1:22">
      <c r="A45" s="93"/>
      <c r="B45" s="14"/>
      <c r="C45" s="14"/>
      <c r="D45" s="14"/>
      <c r="E45" s="14"/>
      <c r="F45" s="14"/>
      <c r="G45" s="21"/>
      <c r="H45" s="12"/>
      <c r="I45" s="18"/>
      <c r="J45" s="24"/>
      <c r="K45" s="24"/>
      <c r="L45" s="24"/>
      <c r="M45" s="24"/>
      <c r="N45" s="12"/>
      <c r="O45" s="12"/>
      <c r="P45" s="14"/>
      <c r="Q45" s="12"/>
      <c r="R45" s="12"/>
      <c r="S45" s="14"/>
      <c r="T45" s="14"/>
      <c r="U45" s="26"/>
      <c r="V45" s="7"/>
    </row>
    <row r="46" spans="1:22">
      <c r="A46" s="93"/>
      <c r="B46" s="14"/>
      <c r="C46" s="14"/>
      <c r="D46" s="14"/>
      <c r="E46" s="14"/>
      <c r="F46" s="14"/>
      <c r="G46" s="21"/>
      <c r="H46" s="12"/>
      <c r="I46" s="18"/>
      <c r="J46" s="24"/>
      <c r="K46" s="24"/>
      <c r="L46" s="24"/>
      <c r="M46" s="24"/>
      <c r="N46" s="12"/>
      <c r="O46" s="12"/>
      <c r="P46" s="14"/>
      <c r="Q46" s="12"/>
      <c r="R46" s="12"/>
      <c r="S46" s="14"/>
      <c r="T46" s="14"/>
      <c r="U46" s="26"/>
      <c r="V46" s="7"/>
    </row>
    <row r="47" spans="1:22">
      <c r="A47" s="93"/>
      <c r="B47" s="14"/>
      <c r="C47" s="14"/>
      <c r="D47" s="14"/>
      <c r="E47" s="14"/>
      <c r="F47" s="14"/>
      <c r="G47" s="21"/>
      <c r="H47" s="12"/>
      <c r="I47" s="18"/>
      <c r="J47" s="24"/>
      <c r="K47" s="24"/>
      <c r="L47" s="24"/>
      <c r="M47" s="24"/>
      <c r="N47" s="12"/>
      <c r="O47" s="12"/>
      <c r="P47" s="14"/>
      <c r="Q47" s="12"/>
      <c r="R47" s="12"/>
      <c r="S47" s="14"/>
      <c r="T47" s="14"/>
      <c r="U47" s="26"/>
      <c r="V47" s="7"/>
    </row>
    <row r="48" spans="1:22">
      <c r="A48" s="93"/>
      <c r="B48" s="14"/>
      <c r="C48" s="14"/>
      <c r="D48" s="14"/>
      <c r="E48" s="14"/>
      <c r="F48" s="14"/>
      <c r="G48" s="21"/>
      <c r="H48" s="12"/>
      <c r="I48" s="18"/>
      <c r="J48" s="24"/>
      <c r="K48" s="24"/>
      <c r="L48" s="24"/>
      <c r="M48" s="24"/>
      <c r="N48" s="12"/>
      <c r="O48" s="12"/>
      <c r="P48" s="14"/>
      <c r="Q48" s="12"/>
      <c r="R48" s="12"/>
      <c r="S48" s="14"/>
      <c r="T48" s="14"/>
      <c r="U48" s="26"/>
      <c r="V48" s="7"/>
    </row>
    <row r="49" spans="1:22">
      <c r="A49" s="93"/>
      <c r="B49" s="14"/>
      <c r="C49" s="14"/>
      <c r="D49" s="14"/>
      <c r="E49" s="14"/>
      <c r="F49" s="14"/>
      <c r="G49" s="21"/>
      <c r="H49" s="12"/>
      <c r="I49" s="18"/>
      <c r="J49" s="24"/>
      <c r="K49" s="24"/>
      <c r="L49" s="24"/>
      <c r="M49" s="24"/>
      <c r="N49" s="12"/>
      <c r="O49" s="12"/>
      <c r="P49" s="14"/>
      <c r="Q49" s="12"/>
      <c r="R49" s="12"/>
      <c r="S49" s="14"/>
      <c r="T49" s="14"/>
      <c r="U49" s="26"/>
      <c r="V49" s="7"/>
    </row>
    <row r="50" spans="1:22">
      <c r="A50" s="93"/>
      <c r="B50" s="14"/>
      <c r="C50" s="14"/>
      <c r="D50" s="14"/>
      <c r="E50" s="14"/>
      <c r="F50" s="14"/>
      <c r="G50" s="21"/>
      <c r="H50" s="12"/>
      <c r="I50" s="18"/>
      <c r="J50" s="24"/>
      <c r="K50" s="24"/>
      <c r="L50" s="24"/>
      <c r="M50" s="24"/>
      <c r="N50" s="12"/>
      <c r="O50" s="12"/>
      <c r="P50" s="14"/>
      <c r="Q50" s="12"/>
      <c r="R50" s="12"/>
      <c r="S50" s="14"/>
      <c r="T50" s="14"/>
      <c r="U50" s="26"/>
      <c r="V50" s="7"/>
    </row>
    <row r="51" spans="1:22">
      <c r="A51" s="93"/>
      <c r="B51" s="14"/>
      <c r="C51" s="14"/>
      <c r="D51" s="14"/>
      <c r="E51" s="14"/>
      <c r="F51" s="14"/>
      <c r="G51" s="21"/>
      <c r="H51" s="12"/>
      <c r="I51" s="18"/>
      <c r="J51" s="24"/>
      <c r="K51" s="24"/>
      <c r="L51" s="24"/>
      <c r="M51" s="24"/>
      <c r="N51" s="12"/>
      <c r="O51" s="12"/>
      <c r="P51" s="14"/>
      <c r="Q51" s="12"/>
      <c r="R51" s="12"/>
      <c r="S51" s="14"/>
      <c r="T51" s="14"/>
      <c r="U51" s="26"/>
      <c r="V51" s="7"/>
    </row>
    <row r="52" spans="1:22">
      <c r="A52" s="93"/>
      <c r="B52" s="14"/>
      <c r="C52" s="14"/>
      <c r="D52" s="14"/>
      <c r="E52" s="14"/>
      <c r="F52" s="14"/>
      <c r="G52" s="21"/>
      <c r="H52" s="12"/>
      <c r="I52" s="18"/>
      <c r="J52" s="24"/>
      <c r="K52" s="24"/>
      <c r="L52" s="24"/>
      <c r="M52" s="24"/>
      <c r="N52" s="12"/>
      <c r="O52" s="12"/>
      <c r="P52" s="14"/>
      <c r="Q52" s="12"/>
      <c r="R52" s="12"/>
      <c r="S52" s="14"/>
      <c r="T52" s="14"/>
      <c r="U52" s="26"/>
      <c r="V52" s="7"/>
    </row>
    <row r="53" spans="1:22">
      <c r="A53" s="93"/>
      <c r="B53" s="14"/>
      <c r="C53" s="14"/>
      <c r="D53" s="14"/>
      <c r="E53" s="14"/>
      <c r="F53" s="14"/>
      <c r="G53" s="21"/>
      <c r="H53" s="12"/>
      <c r="I53" s="18"/>
      <c r="J53" s="24"/>
      <c r="K53" s="24"/>
      <c r="L53" s="24"/>
      <c r="M53" s="24"/>
      <c r="N53" s="12"/>
      <c r="O53" s="12"/>
      <c r="P53" s="14"/>
      <c r="Q53" s="12"/>
      <c r="R53" s="12"/>
      <c r="S53" s="14"/>
      <c r="T53" s="14"/>
      <c r="U53" s="26"/>
      <c r="V53" s="7"/>
    </row>
    <row r="54" spans="1:22">
      <c r="A54" s="93"/>
      <c r="B54" s="14"/>
      <c r="C54" s="14"/>
      <c r="D54" s="14"/>
      <c r="E54" s="14"/>
      <c r="F54" s="14"/>
      <c r="G54" s="21"/>
      <c r="H54" s="12"/>
      <c r="I54" s="18"/>
      <c r="J54" s="24"/>
      <c r="K54" s="24"/>
      <c r="L54" s="24"/>
      <c r="M54" s="24"/>
      <c r="N54" s="12"/>
      <c r="O54" s="12"/>
      <c r="P54" s="14"/>
      <c r="Q54" s="12"/>
      <c r="R54" s="12"/>
      <c r="S54" s="14"/>
      <c r="T54" s="14"/>
      <c r="U54" s="26"/>
      <c r="V54" s="7"/>
    </row>
    <row r="55" spans="1:22">
      <c r="A55" s="93"/>
      <c r="B55" s="14"/>
      <c r="C55" s="14"/>
      <c r="D55" s="14"/>
      <c r="E55" s="14"/>
      <c r="F55" s="14"/>
      <c r="G55" s="21"/>
      <c r="H55" s="12"/>
      <c r="I55" s="18"/>
      <c r="J55" s="24"/>
      <c r="K55" s="24"/>
      <c r="L55" s="24"/>
      <c r="M55" s="24"/>
      <c r="N55" s="12"/>
      <c r="O55" s="12"/>
      <c r="P55" s="14"/>
      <c r="Q55" s="12"/>
      <c r="R55" s="12"/>
      <c r="S55" s="14"/>
      <c r="T55" s="14"/>
      <c r="U55" s="26"/>
      <c r="V55" s="7"/>
    </row>
    <row r="56" spans="1:22">
      <c r="A56" s="93"/>
      <c r="B56" s="14"/>
      <c r="C56" s="14"/>
      <c r="D56" s="14"/>
      <c r="E56" s="14"/>
      <c r="F56" s="14"/>
      <c r="G56" s="21"/>
      <c r="H56" s="12"/>
      <c r="I56" s="18"/>
      <c r="J56" s="24"/>
      <c r="K56" s="24"/>
      <c r="L56" s="24"/>
      <c r="M56" s="24"/>
      <c r="N56" s="12"/>
      <c r="O56" s="12"/>
      <c r="P56" s="14"/>
      <c r="Q56" s="12"/>
      <c r="R56" s="12"/>
      <c r="S56" s="14"/>
      <c r="T56" s="14"/>
      <c r="U56" s="26"/>
      <c r="V56" s="7"/>
    </row>
    <row r="57" spans="1:22">
      <c r="A57" s="93"/>
      <c r="B57" s="14"/>
      <c r="C57" s="14"/>
      <c r="D57" s="14"/>
      <c r="E57" s="14"/>
      <c r="F57" s="14"/>
      <c r="G57" s="21"/>
      <c r="H57" s="12"/>
      <c r="I57" s="18"/>
      <c r="J57" s="24"/>
      <c r="K57" s="24"/>
      <c r="L57" s="24"/>
      <c r="M57" s="24"/>
      <c r="N57" s="12"/>
      <c r="O57" s="12"/>
      <c r="P57" s="14"/>
      <c r="Q57" s="12"/>
      <c r="R57" s="12"/>
      <c r="S57" s="14"/>
      <c r="T57" s="14"/>
      <c r="U57" s="26"/>
      <c r="V57" s="7"/>
    </row>
    <row r="58" spans="1:22">
      <c r="A58" s="93"/>
      <c r="B58" s="14"/>
      <c r="C58" s="14"/>
      <c r="D58" s="14"/>
      <c r="E58" s="14"/>
      <c r="F58" s="14"/>
      <c r="G58" s="21"/>
      <c r="H58" s="12"/>
      <c r="I58" s="18"/>
      <c r="J58" s="24"/>
      <c r="K58" s="24"/>
      <c r="L58" s="24"/>
      <c r="M58" s="24"/>
      <c r="N58" s="12"/>
      <c r="O58" s="12"/>
      <c r="P58" s="14"/>
      <c r="Q58" s="12"/>
      <c r="R58" s="12"/>
      <c r="S58" s="14"/>
      <c r="T58" s="14"/>
      <c r="U58" s="26"/>
      <c r="V58" s="7"/>
    </row>
    <row r="59" spans="1:22">
      <c r="A59" s="93"/>
      <c r="B59" s="14"/>
      <c r="C59" s="14"/>
      <c r="D59" s="14"/>
      <c r="E59" s="14"/>
      <c r="F59" s="14"/>
      <c r="G59" s="21"/>
      <c r="H59" s="12"/>
      <c r="I59" s="18"/>
      <c r="J59" s="24"/>
      <c r="K59" s="24"/>
      <c r="L59" s="24"/>
      <c r="M59" s="24"/>
      <c r="N59" s="12"/>
      <c r="O59" s="12"/>
      <c r="P59" s="14"/>
      <c r="Q59" s="12"/>
      <c r="R59" s="12"/>
      <c r="S59" s="14"/>
      <c r="T59" s="14"/>
      <c r="U59" s="26"/>
      <c r="V59" s="7"/>
    </row>
    <row r="60" spans="1:22">
      <c r="A60" s="93"/>
      <c r="B60" s="14"/>
      <c r="C60" s="14"/>
      <c r="D60" s="14"/>
      <c r="E60" s="14"/>
      <c r="F60" s="14"/>
      <c r="G60" s="21"/>
      <c r="H60" s="12"/>
      <c r="I60" s="18"/>
      <c r="J60" s="24"/>
      <c r="K60" s="24"/>
      <c r="L60" s="24"/>
      <c r="M60" s="24"/>
      <c r="N60" s="12"/>
      <c r="O60" s="12"/>
      <c r="P60" s="14"/>
      <c r="Q60" s="12"/>
      <c r="R60" s="12"/>
      <c r="S60" s="14"/>
      <c r="T60" s="14"/>
      <c r="U60" s="26"/>
      <c r="V60" s="7"/>
    </row>
    <row r="61" spans="1:22">
      <c r="A61" s="93"/>
      <c r="B61" s="14"/>
      <c r="C61" s="14"/>
      <c r="D61" s="14"/>
      <c r="E61" s="14"/>
      <c r="F61" s="14"/>
      <c r="G61" s="21"/>
      <c r="H61" s="12"/>
      <c r="I61" s="18"/>
      <c r="J61" s="24"/>
      <c r="K61" s="24"/>
      <c r="L61" s="24"/>
      <c r="M61" s="24"/>
      <c r="N61" s="12"/>
      <c r="O61" s="12"/>
      <c r="P61" s="14"/>
      <c r="Q61" s="12"/>
      <c r="R61" s="12"/>
      <c r="S61" s="14"/>
      <c r="T61" s="14"/>
      <c r="U61" s="26"/>
      <c r="V61" s="7"/>
    </row>
    <row r="62" spans="1:22">
      <c r="A62" s="93"/>
      <c r="B62" s="14"/>
      <c r="C62" s="14"/>
      <c r="D62" s="14"/>
      <c r="E62" s="14"/>
      <c r="F62" s="14"/>
      <c r="G62" s="21"/>
      <c r="H62" s="12"/>
      <c r="I62" s="18"/>
      <c r="J62" s="24"/>
      <c r="K62" s="24"/>
      <c r="L62" s="24"/>
      <c r="M62" s="24"/>
      <c r="N62" s="12"/>
      <c r="O62" s="12"/>
      <c r="P62" s="14"/>
      <c r="Q62" s="12"/>
      <c r="R62" s="12"/>
      <c r="S62" s="14"/>
      <c r="T62" s="14"/>
      <c r="U62" s="26"/>
      <c r="V62" s="7"/>
    </row>
    <row r="63" spans="1:22">
      <c r="A63" s="93"/>
      <c r="B63" s="14"/>
      <c r="C63" s="14"/>
      <c r="D63" s="14"/>
      <c r="E63" s="14"/>
      <c r="F63" s="14"/>
      <c r="G63" s="21"/>
      <c r="H63" s="12"/>
      <c r="I63" s="18"/>
      <c r="J63" s="24"/>
      <c r="K63" s="24"/>
      <c r="L63" s="24"/>
      <c r="M63" s="24"/>
      <c r="N63" s="12"/>
      <c r="O63" s="12"/>
      <c r="P63" s="14"/>
      <c r="Q63" s="12"/>
      <c r="R63" s="12"/>
      <c r="S63" s="14"/>
      <c r="T63" s="14"/>
      <c r="U63" s="26"/>
      <c r="V63" s="7"/>
    </row>
    <row r="64" spans="1:22">
      <c r="A64" s="93"/>
      <c r="B64" s="14"/>
      <c r="C64" s="14"/>
      <c r="D64" s="14"/>
      <c r="E64" s="14"/>
      <c r="F64" s="14"/>
      <c r="G64" s="21"/>
      <c r="H64" s="12"/>
      <c r="I64" s="18"/>
      <c r="J64" s="24"/>
      <c r="K64" s="24"/>
      <c r="L64" s="24"/>
      <c r="M64" s="24"/>
      <c r="N64" s="12"/>
      <c r="O64" s="12"/>
      <c r="P64" s="14"/>
      <c r="Q64" s="12"/>
      <c r="R64" s="12"/>
      <c r="S64" s="14"/>
      <c r="T64" s="14"/>
      <c r="U64" s="26"/>
      <c r="V64" s="7"/>
    </row>
    <row r="65" spans="1:22">
      <c r="A65" s="93"/>
      <c r="B65" s="14"/>
      <c r="C65" s="14"/>
      <c r="D65" s="14"/>
      <c r="E65" s="14"/>
      <c r="F65" s="14"/>
      <c r="G65" s="21"/>
      <c r="H65" s="12"/>
      <c r="I65" s="18"/>
      <c r="J65" s="24"/>
      <c r="K65" s="24"/>
      <c r="L65" s="24"/>
      <c r="M65" s="24"/>
      <c r="N65" s="12"/>
      <c r="O65" s="12"/>
      <c r="P65" s="14"/>
      <c r="Q65" s="12"/>
      <c r="R65" s="12"/>
      <c r="S65" s="14"/>
      <c r="T65" s="14"/>
      <c r="U65" s="26"/>
      <c r="V65" s="7"/>
    </row>
    <row r="66" spans="1:22">
      <c r="A66" s="93"/>
      <c r="B66" s="14"/>
      <c r="C66" s="14"/>
      <c r="D66" s="14"/>
      <c r="E66" s="14"/>
      <c r="F66" s="14"/>
      <c r="G66" s="21"/>
      <c r="H66" s="12"/>
      <c r="I66" s="18"/>
      <c r="J66" s="24"/>
      <c r="K66" s="24"/>
      <c r="L66" s="24"/>
      <c r="M66" s="24"/>
      <c r="N66" s="12"/>
      <c r="O66" s="12"/>
      <c r="P66" s="14"/>
      <c r="Q66" s="12"/>
      <c r="R66" s="12"/>
      <c r="S66" s="14"/>
      <c r="T66" s="14"/>
      <c r="U66" s="26"/>
      <c r="V66" s="7"/>
    </row>
    <row r="67" spans="1:22">
      <c r="A67" s="93"/>
      <c r="B67" s="14"/>
      <c r="C67" s="14"/>
      <c r="D67" s="14"/>
      <c r="E67" s="14"/>
      <c r="F67" s="14"/>
      <c r="G67" s="21"/>
      <c r="H67" s="12"/>
      <c r="I67" s="18"/>
      <c r="J67" s="24"/>
      <c r="K67" s="24"/>
      <c r="L67" s="24"/>
      <c r="M67" s="24"/>
      <c r="N67" s="12"/>
      <c r="O67" s="12"/>
      <c r="P67" s="14"/>
      <c r="Q67" s="12"/>
      <c r="R67" s="12"/>
      <c r="S67" s="14"/>
      <c r="T67" s="14"/>
      <c r="U67" s="26"/>
      <c r="V67" s="7"/>
    </row>
    <row r="68" spans="1:22">
      <c r="A68" s="93"/>
      <c r="B68" s="14"/>
      <c r="C68" s="14"/>
      <c r="D68" s="14"/>
      <c r="E68" s="14"/>
      <c r="F68" s="14"/>
      <c r="G68" s="21"/>
      <c r="H68" s="12"/>
      <c r="I68" s="18"/>
      <c r="J68" s="24"/>
      <c r="K68" s="24"/>
      <c r="L68" s="24"/>
      <c r="M68" s="24"/>
      <c r="N68" s="12"/>
      <c r="O68" s="12"/>
      <c r="P68" s="14"/>
      <c r="Q68" s="12"/>
      <c r="R68" s="12"/>
      <c r="S68" s="14"/>
      <c r="T68" s="14"/>
      <c r="U68" s="26"/>
      <c r="V68" s="7"/>
    </row>
    <row r="69" spans="1:22">
      <c r="A69" s="93"/>
      <c r="B69" s="14"/>
      <c r="C69" s="14"/>
      <c r="D69" s="14"/>
      <c r="E69" s="14"/>
      <c r="F69" s="14"/>
      <c r="G69" s="21"/>
      <c r="H69" s="12"/>
      <c r="I69" s="18"/>
      <c r="J69" s="24"/>
      <c r="K69" s="24"/>
      <c r="L69" s="24"/>
      <c r="M69" s="24"/>
      <c r="N69" s="12"/>
      <c r="O69" s="12"/>
      <c r="P69" s="14"/>
      <c r="Q69" s="12"/>
      <c r="R69" s="12"/>
      <c r="S69" s="14"/>
      <c r="T69" s="14"/>
      <c r="U69" s="26"/>
      <c r="V69" s="7"/>
    </row>
    <row r="70" spans="1:22">
      <c r="A70" s="93"/>
      <c r="B70" s="14"/>
      <c r="C70" s="14"/>
      <c r="D70" s="14"/>
      <c r="E70" s="14"/>
      <c r="F70" s="14"/>
      <c r="G70" s="21"/>
      <c r="H70" s="12"/>
      <c r="I70" s="18"/>
      <c r="J70" s="24"/>
      <c r="K70" s="24"/>
      <c r="L70" s="24"/>
      <c r="M70" s="24"/>
      <c r="N70" s="12"/>
      <c r="O70" s="12"/>
      <c r="P70" s="14"/>
      <c r="Q70" s="12"/>
      <c r="R70" s="12"/>
      <c r="S70" s="14"/>
      <c r="T70" s="14"/>
      <c r="U70" s="26"/>
      <c r="V70" s="7"/>
    </row>
    <row r="71" spans="1:22">
      <c r="A71" s="93"/>
      <c r="B71" s="14"/>
      <c r="C71" s="14"/>
      <c r="D71" s="14"/>
      <c r="E71" s="14"/>
      <c r="F71" s="14"/>
      <c r="G71" s="21"/>
      <c r="H71" s="12"/>
      <c r="I71" s="18"/>
      <c r="J71" s="24"/>
      <c r="K71" s="24"/>
      <c r="L71" s="24"/>
      <c r="M71" s="24"/>
      <c r="N71" s="12"/>
      <c r="O71" s="12"/>
      <c r="P71" s="14"/>
      <c r="Q71" s="12"/>
      <c r="R71" s="12"/>
      <c r="S71" s="14"/>
      <c r="T71" s="14"/>
      <c r="U71" s="26"/>
      <c r="V71" s="7"/>
    </row>
    <row r="72" spans="1:22">
      <c r="A72" s="93"/>
      <c r="B72" s="14"/>
      <c r="C72" s="14"/>
      <c r="D72" s="14"/>
      <c r="E72" s="14"/>
      <c r="F72" s="14"/>
      <c r="G72" s="21"/>
      <c r="H72" s="12"/>
      <c r="I72" s="18"/>
      <c r="J72" s="24"/>
      <c r="K72" s="24"/>
      <c r="L72" s="24"/>
      <c r="M72" s="24"/>
      <c r="N72" s="12"/>
      <c r="O72" s="12"/>
      <c r="P72" s="14"/>
      <c r="Q72" s="12"/>
      <c r="R72" s="12"/>
      <c r="S72" s="14"/>
      <c r="T72" s="14"/>
      <c r="U72" s="26"/>
      <c r="V72" s="7"/>
    </row>
    <row r="73" spans="1:22">
      <c r="A73" s="93"/>
      <c r="B73" s="14"/>
      <c r="C73" s="14"/>
      <c r="D73" s="14"/>
      <c r="E73" s="14"/>
      <c r="F73" s="14"/>
      <c r="G73" s="21"/>
      <c r="H73" s="12"/>
      <c r="I73" s="18"/>
      <c r="J73" s="24"/>
      <c r="K73" s="24"/>
      <c r="L73" s="24"/>
      <c r="M73" s="24"/>
      <c r="N73" s="12"/>
      <c r="O73" s="12"/>
      <c r="P73" s="14"/>
      <c r="Q73" s="12"/>
      <c r="R73" s="12"/>
      <c r="S73" s="14"/>
      <c r="T73" s="14"/>
      <c r="U73" s="26"/>
      <c r="V73" s="7"/>
    </row>
    <row r="74" spans="1:22">
      <c r="A74" s="93"/>
      <c r="B74" s="14"/>
      <c r="C74" s="14"/>
      <c r="D74" s="14"/>
      <c r="E74" s="14"/>
      <c r="F74" s="14"/>
      <c r="G74" s="21"/>
      <c r="H74" s="12"/>
      <c r="I74" s="18"/>
      <c r="J74" s="24"/>
      <c r="K74" s="24"/>
      <c r="L74" s="24"/>
      <c r="M74" s="24"/>
      <c r="N74" s="12"/>
      <c r="O74" s="12"/>
      <c r="P74" s="14"/>
      <c r="Q74" s="12"/>
      <c r="R74" s="12"/>
      <c r="S74" s="14"/>
      <c r="T74" s="14"/>
      <c r="U74" s="26"/>
      <c r="V74" s="7"/>
    </row>
    <row r="75" spans="1:22">
      <c r="A75" s="93"/>
      <c r="B75" s="14"/>
      <c r="C75" s="14"/>
      <c r="D75" s="14"/>
      <c r="E75" s="14"/>
      <c r="F75" s="14"/>
      <c r="G75" s="21"/>
      <c r="H75" s="12"/>
      <c r="I75" s="18"/>
      <c r="J75" s="24"/>
      <c r="K75" s="24"/>
      <c r="L75" s="24"/>
      <c r="M75" s="24"/>
      <c r="N75" s="12"/>
      <c r="O75" s="12"/>
      <c r="P75" s="14"/>
      <c r="Q75" s="12"/>
      <c r="R75" s="12"/>
      <c r="S75" s="14"/>
      <c r="T75" s="14"/>
      <c r="U75" s="26"/>
      <c r="V75" s="7"/>
    </row>
    <row r="76" spans="1:22">
      <c r="A76" s="93"/>
      <c r="B76" s="14"/>
      <c r="C76" s="14"/>
      <c r="D76" s="14"/>
      <c r="E76" s="14"/>
      <c r="F76" s="14"/>
      <c r="G76" s="21"/>
      <c r="H76" s="12"/>
      <c r="I76" s="18"/>
      <c r="J76" s="24"/>
      <c r="K76" s="24"/>
      <c r="L76" s="24"/>
      <c r="M76" s="24"/>
      <c r="N76" s="12"/>
      <c r="O76" s="12"/>
      <c r="P76" s="14"/>
      <c r="Q76" s="12"/>
      <c r="R76" s="12"/>
      <c r="S76" s="14"/>
      <c r="T76" s="14"/>
      <c r="U76" s="26"/>
      <c r="V76" s="7"/>
    </row>
    <row r="77" spans="1:22">
      <c r="A77" s="93"/>
      <c r="B77" s="14"/>
      <c r="C77" s="14"/>
      <c r="D77" s="14"/>
      <c r="E77" s="14"/>
      <c r="F77" s="14"/>
      <c r="G77" s="21"/>
      <c r="H77" s="12"/>
      <c r="I77" s="18"/>
      <c r="J77" s="24"/>
      <c r="K77" s="24"/>
      <c r="L77" s="24"/>
      <c r="M77" s="24"/>
      <c r="N77" s="12"/>
      <c r="O77" s="12"/>
      <c r="P77" s="14"/>
      <c r="Q77" s="12"/>
      <c r="R77" s="12"/>
      <c r="S77" s="14"/>
      <c r="T77" s="14"/>
      <c r="U77" s="26"/>
      <c r="V77" s="7"/>
    </row>
    <row r="78" spans="1:22">
      <c r="A78" s="93"/>
      <c r="B78" s="14"/>
      <c r="C78" s="14"/>
      <c r="D78" s="14"/>
      <c r="E78" s="14"/>
      <c r="F78" s="14"/>
      <c r="G78" s="21"/>
      <c r="H78" s="12"/>
      <c r="I78" s="18"/>
      <c r="J78" s="24"/>
      <c r="K78" s="24"/>
      <c r="L78" s="24"/>
      <c r="M78" s="24"/>
      <c r="N78" s="12"/>
      <c r="O78" s="12"/>
      <c r="P78" s="14"/>
      <c r="Q78" s="12"/>
      <c r="R78" s="12"/>
      <c r="S78" s="14"/>
      <c r="T78" s="14"/>
      <c r="U78" s="26"/>
      <c r="V78" s="7"/>
    </row>
    <row r="79" spans="1:22">
      <c r="A79" s="93"/>
      <c r="B79" s="14"/>
      <c r="C79" s="14"/>
      <c r="D79" s="14"/>
      <c r="E79" s="14"/>
      <c r="F79" s="14"/>
      <c r="G79" s="21"/>
      <c r="H79" s="12"/>
      <c r="I79" s="18"/>
      <c r="J79" s="24"/>
      <c r="K79" s="24"/>
      <c r="L79" s="24"/>
      <c r="M79" s="24"/>
      <c r="N79" s="12"/>
      <c r="O79" s="12"/>
      <c r="P79" s="14"/>
      <c r="Q79" s="12"/>
      <c r="R79" s="12"/>
      <c r="S79" s="14"/>
      <c r="T79" s="14"/>
      <c r="U79" s="26"/>
      <c r="V79" s="7"/>
    </row>
    <row r="80" spans="1:22">
      <c r="A80" s="93"/>
      <c r="B80" s="14"/>
      <c r="C80" s="14"/>
      <c r="D80" s="14"/>
      <c r="E80" s="14"/>
      <c r="F80" s="14"/>
      <c r="G80" s="21"/>
      <c r="H80" s="12"/>
      <c r="I80" s="18"/>
      <c r="J80" s="24"/>
      <c r="K80" s="24"/>
      <c r="L80" s="24"/>
      <c r="M80" s="24"/>
      <c r="N80" s="12"/>
      <c r="O80" s="12"/>
      <c r="P80" s="14"/>
      <c r="Q80" s="12"/>
      <c r="R80" s="12"/>
      <c r="S80" s="14"/>
      <c r="T80" s="14"/>
      <c r="U80" s="26"/>
      <c r="V80" s="7"/>
    </row>
    <row r="81" spans="1:22">
      <c r="A81" s="93"/>
      <c r="B81" s="14"/>
      <c r="C81" s="14"/>
      <c r="D81" s="14"/>
      <c r="E81" s="14"/>
      <c r="F81" s="14"/>
      <c r="G81" s="21"/>
      <c r="H81" s="12"/>
      <c r="I81" s="18"/>
      <c r="J81" s="24"/>
      <c r="K81" s="24"/>
      <c r="L81" s="24"/>
      <c r="M81" s="24"/>
      <c r="N81" s="12"/>
      <c r="O81" s="12"/>
      <c r="P81" s="14"/>
      <c r="Q81" s="12"/>
      <c r="R81" s="12"/>
      <c r="S81" s="14"/>
      <c r="T81" s="14"/>
      <c r="U81" s="26"/>
      <c r="V81" s="7"/>
    </row>
    <row r="82" spans="1:22">
      <c r="A82" s="93"/>
      <c r="B82" s="14"/>
      <c r="C82" s="14"/>
      <c r="D82" s="14"/>
      <c r="E82" s="14"/>
      <c r="F82" s="14"/>
      <c r="G82" s="21"/>
      <c r="H82" s="12"/>
      <c r="I82" s="18"/>
      <c r="J82" s="24"/>
      <c r="K82" s="24"/>
      <c r="L82" s="24"/>
      <c r="M82" s="24"/>
      <c r="N82" s="12"/>
      <c r="O82" s="12"/>
      <c r="P82" s="14"/>
      <c r="Q82" s="12"/>
      <c r="R82" s="12"/>
      <c r="S82" s="14"/>
      <c r="T82" s="14"/>
      <c r="U82" s="26"/>
      <c r="V82" s="7"/>
    </row>
    <row r="83" spans="1:22">
      <c r="A83" s="93"/>
      <c r="B83" s="14"/>
      <c r="C83" s="14"/>
      <c r="D83" s="14"/>
      <c r="E83" s="14"/>
      <c r="F83" s="14"/>
      <c r="G83" s="21"/>
      <c r="H83" s="12"/>
      <c r="I83" s="18"/>
      <c r="J83" s="24"/>
      <c r="K83" s="24"/>
      <c r="L83" s="24"/>
      <c r="M83" s="24"/>
      <c r="N83" s="12"/>
      <c r="O83" s="12"/>
      <c r="P83" s="14"/>
      <c r="Q83" s="12"/>
      <c r="R83" s="12"/>
      <c r="S83" s="14"/>
      <c r="T83" s="14"/>
      <c r="U83" s="26"/>
      <c r="V83" s="7"/>
    </row>
    <row r="84" spans="1:22">
      <c r="A84" s="93"/>
      <c r="B84" s="14"/>
      <c r="C84" s="14"/>
      <c r="D84" s="14"/>
      <c r="E84" s="14"/>
      <c r="F84" s="14"/>
      <c r="G84" s="21"/>
      <c r="H84" s="12"/>
      <c r="I84" s="18"/>
      <c r="J84" s="24"/>
      <c r="K84" s="24"/>
      <c r="L84" s="24"/>
      <c r="M84" s="24"/>
      <c r="N84" s="12"/>
      <c r="O84" s="12"/>
      <c r="P84" s="14"/>
      <c r="Q84" s="12"/>
      <c r="R84" s="12"/>
      <c r="S84" s="14"/>
      <c r="T84" s="14"/>
      <c r="U84" s="26"/>
      <c r="V84" s="7"/>
    </row>
    <row r="85" spans="1:22">
      <c r="A85" s="93"/>
      <c r="B85" s="14"/>
      <c r="C85" s="14"/>
      <c r="D85" s="14"/>
      <c r="E85" s="14"/>
      <c r="F85" s="14"/>
      <c r="G85" s="21"/>
      <c r="H85" s="12"/>
      <c r="I85" s="18"/>
      <c r="J85" s="24"/>
      <c r="K85" s="24"/>
      <c r="L85" s="24"/>
      <c r="M85" s="24"/>
      <c r="N85" s="12"/>
      <c r="O85" s="12"/>
      <c r="P85" s="14"/>
      <c r="Q85" s="12"/>
      <c r="R85" s="12"/>
      <c r="S85" s="14"/>
      <c r="T85" s="14"/>
      <c r="U85" s="26"/>
      <c r="V85" s="7"/>
    </row>
    <row r="86" spans="1:22">
      <c r="A86" s="93"/>
      <c r="B86" s="14"/>
      <c r="C86" s="14"/>
      <c r="D86" s="14"/>
      <c r="E86" s="14"/>
      <c r="F86" s="14"/>
      <c r="G86" s="21"/>
      <c r="H86" s="12"/>
      <c r="I86" s="18"/>
      <c r="J86" s="24"/>
      <c r="K86" s="24"/>
      <c r="L86" s="24"/>
      <c r="M86" s="24"/>
      <c r="N86" s="12"/>
      <c r="O86" s="12"/>
      <c r="P86" s="14"/>
      <c r="Q86" s="12"/>
      <c r="R86" s="12"/>
      <c r="S86" s="14"/>
      <c r="T86" s="14"/>
      <c r="U86" s="26"/>
      <c r="V86" s="7"/>
    </row>
    <row r="87" spans="1:22">
      <c r="A87" s="93"/>
      <c r="B87" s="14"/>
      <c r="C87" s="14"/>
      <c r="D87" s="14"/>
      <c r="E87" s="14"/>
      <c r="F87" s="14"/>
      <c r="G87" s="21"/>
      <c r="H87" s="12"/>
      <c r="I87" s="18"/>
      <c r="J87" s="24"/>
      <c r="K87" s="24"/>
      <c r="L87" s="24"/>
      <c r="M87" s="24"/>
      <c r="N87" s="12"/>
      <c r="O87" s="12"/>
      <c r="P87" s="14"/>
      <c r="Q87" s="12"/>
      <c r="R87" s="12"/>
      <c r="S87" s="14"/>
      <c r="T87" s="14"/>
      <c r="U87" s="26"/>
      <c r="V87" s="7"/>
    </row>
    <row r="88" spans="1:22">
      <c r="A88" s="93"/>
      <c r="B88" s="14"/>
      <c r="C88" s="14"/>
      <c r="D88" s="14"/>
      <c r="E88" s="14"/>
      <c r="F88" s="14"/>
      <c r="G88" s="21"/>
      <c r="H88" s="12"/>
      <c r="I88" s="18"/>
      <c r="J88" s="24"/>
      <c r="K88" s="24"/>
      <c r="L88" s="24"/>
      <c r="M88" s="24"/>
      <c r="N88" s="12"/>
      <c r="O88" s="12"/>
      <c r="P88" s="14"/>
      <c r="Q88" s="12"/>
      <c r="R88" s="12"/>
      <c r="S88" s="14"/>
      <c r="T88" s="14"/>
      <c r="U88" s="26"/>
      <c r="V88" s="7"/>
    </row>
    <row r="89" spans="1:22">
      <c r="A89" s="93"/>
      <c r="B89" s="14"/>
      <c r="C89" s="14"/>
      <c r="D89" s="14"/>
      <c r="E89" s="14"/>
      <c r="F89" s="14"/>
      <c r="G89" s="21"/>
      <c r="H89" s="12"/>
      <c r="I89" s="18"/>
      <c r="J89" s="24"/>
      <c r="K89" s="24"/>
      <c r="L89" s="24"/>
      <c r="M89" s="24"/>
      <c r="N89" s="12"/>
      <c r="O89" s="12"/>
      <c r="P89" s="14"/>
      <c r="Q89" s="12"/>
      <c r="R89" s="12"/>
      <c r="S89" s="14"/>
      <c r="T89" s="14"/>
      <c r="U89" s="26"/>
      <c r="V89" s="7"/>
    </row>
    <row r="90" spans="1:22">
      <c r="A90" s="93"/>
      <c r="B90" s="14"/>
      <c r="C90" s="14"/>
      <c r="D90" s="14"/>
      <c r="E90" s="14"/>
      <c r="F90" s="14"/>
      <c r="G90" s="21"/>
      <c r="H90" s="12"/>
      <c r="I90" s="18"/>
      <c r="J90" s="24"/>
      <c r="K90" s="24"/>
      <c r="L90" s="24"/>
      <c r="M90" s="24"/>
      <c r="N90" s="12"/>
      <c r="O90" s="12"/>
      <c r="P90" s="14"/>
      <c r="Q90" s="12"/>
      <c r="R90" s="12"/>
      <c r="S90" s="14"/>
      <c r="T90" s="14"/>
      <c r="U90" s="26"/>
      <c r="V90" s="7"/>
    </row>
    <row r="91" spans="1:22">
      <c r="A91" s="93"/>
      <c r="B91" s="14"/>
      <c r="C91" s="14"/>
      <c r="D91" s="14"/>
      <c r="E91" s="14"/>
      <c r="F91" s="14"/>
      <c r="G91" s="21"/>
      <c r="H91" s="12"/>
      <c r="I91" s="18"/>
      <c r="J91" s="24"/>
      <c r="K91" s="24"/>
      <c r="L91" s="24"/>
      <c r="M91" s="24"/>
      <c r="N91" s="12"/>
      <c r="O91" s="12"/>
      <c r="P91" s="14"/>
      <c r="Q91" s="12"/>
      <c r="R91" s="12"/>
      <c r="S91" s="14"/>
      <c r="T91" s="14"/>
      <c r="U91" s="26"/>
      <c r="V91" s="7"/>
    </row>
    <row r="92" spans="1:22">
      <c r="A92" s="93"/>
      <c r="B92" s="14"/>
      <c r="C92" s="14"/>
      <c r="D92" s="14"/>
      <c r="E92" s="14"/>
      <c r="F92" s="14"/>
      <c r="G92" s="21"/>
      <c r="H92" s="12"/>
      <c r="I92" s="18"/>
      <c r="J92" s="24"/>
      <c r="K92" s="24"/>
      <c r="L92" s="24"/>
      <c r="M92" s="24"/>
      <c r="N92" s="12"/>
      <c r="O92" s="12"/>
      <c r="P92" s="14"/>
      <c r="Q92" s="12"/>
      <c r="R92" s="12"/>
      <c r="S92" s="14"/>
      <c r="T92" s="14"/>
      <c r="U92" s="26"/>
      <c r="V92" s="7"/>
    </row>
    <row r="93" spans="1:22">
      <c r="A93" s="93"/>
      <c r="B93" s="14"/>
      <c r="C93" s="14"/>
      <c r="D93" s="14"/>
      <c r="E93" s="14"/>
      <c r="F93" s="14"/>
      <c r="G93" s="21"/>
      <c r="H93" s="12"/>
      <c r="I93" s="18"/>
      <c r="J93" s="24"/>
      <c r="K93" s="24"/>
      <c r="L93" s="24"/>
      <c r="M93" s="24"/>
      <c r="N93" s="12"/>
      <c r="O93" s="12"/>
      <c r="P93" s="14"/>
      <c r="Q93" s="12"/>
      <c r="R93" s="12"/>
      <c r="S93" s="14"/>
      <c r="T93" s="14"/>
      <c r="U93" s="26"/>
      <c r="V93" s="7"/>
    </row>
    <row r="94" spans="1:22">
      <c r="A94" s="93"/>
      <c r="B94" s="14"/>
      <c r="C94" s="14"/>
      <c r="D94" s="14"/>
      <c r="E94" s="14"/>
      <c r="F94" s="14"/>
      <c r="G94" s="21"/>
      <c r="H94" s="12"/>
      <c r="I94" s="18"/>
      <c r="J94" s="24"/>
      <c r="K94" s="24"/>
      <c r="L94" s="24"/>
      <c r="M94" s="24"/>
      <c r="N94" s="12"/>
      <c r="O94" s="12"/>
      <c r="P94" s="14"/>
      <c r="Q94" s="12"/>
      <c r="R94" s="12"/>
      <c r="S94" s="14"/>
      <c r="T94" s="14"/>
      <c r="U94" s="26"/>
      <c r="V94" s="7"/>
    </row>
    <row r="95" spans="1:22">
      <c r="A95" s="93"/>
      <c r="B95" s="14"/>
      <c r="C95" s="14"/>
      <c r="D95" s="14"/>
      <c r="E95" s="14"/>
      <c r="F95" s="14"/>
      <c r="G95" s="21"/>
      <c r="H95" s="12"/>
      <c r="I95" s="18"/>
      <c r="J95" s="24"/>
      <c r="K95" s="24"/>
      <c r="L95" s="24"/>
      <c r="M95" s="24"/>
      <c r="N95" s="12"/>
      <c r="O95" s="12"/>
      <c r="P95" s="14"/>
      <c r="Q95" s="12"/>
      <c r="R95" s="12"/>
      <c r="S95" s="14"/>
      <c r="T95" s="14"/>
      <c r="U95" s="26"/>
      <c r="V95" s="7"/>
    </row>
    <row r="96" spans="1:22">
      <c r="A96" s="93"/>
      <c r="B96" s="14"/>
      <c r="C96" s="14"/>
      <c r="D96" s="14"/>
      <c r="E96" s="14"/>
      <c r="F96" s="14"/>
      <c r="G96" s="21"/>
      <c r="H96" s="12"/>
      <c r="I96" s="18"/>
      <c r="J96" s="24"/>
      <c r="K96" s="24"/>
      <c r="L96" s="24"/>
      <c r="M96" s="24"/>
      <c r="N96" s="12"/>
      <c r="O96" s="12"/>
      <c r="P96" s="14"/>
      <c r="Q96" s="12"/>
      <c r="R96" s="12"/>
      <c r="S96" s="14"/>
      <c r="T96" s="14"/>
      <c r="U96" s="26"/>
      <c r="V96" s="7"/>
    </row>
    <row r="97" spans="1:22">
      <c r="A97" s="93"/>
      <c r="B97" s="14"/>
      <c r="C97" s="14"/>
      <c r="D97" s="14"/>
      <c r="E97" s="14"/>
      <c r="F97" s="14"/>
      <c r="G97" s="21"/>
      <c r="H97" s="12"/>
      <c r="I97" s="18"/>
      <c r="J97" s="24"/>
      <c r="K97" s="24"/>
      <c r="L97" s="24"/>
      <c r="M97" s="24"/>
      <c r="N97" s="12"/>
      <c r="O97" s="12"/>
      <c r="P97" s="14"/>
      <c r="Q97" s="12"/>
      <c r="R97" s="12"/>
      <c r="S97" s="14"/>
      <c r="T97" s="14"/>
      <c r="U97" s="26"/>
      <c r="V97" s="7"/>
    </row>
    <row r="98" spans="1:22">
      <c r="A98" s="93"/>
      <c r="B98" s="14"/>
      <c r="C98" s="14"/>
      <c r="D98" s="14"/>
      <c r="E98" s="14"/>
      <c r="F98" s="14"/>
      <c r="G98" s="21"/>
      <c r="H98" s="12"/>
      <c r="I98" s="18"/>
      <c r="J98" s="24"/>
      <c r="K98" s="24"/>
      <c r="L98" s="24"/>
      <c r="M98" s="24"/>
      <c r="N98" s="12"/>
      <c r="O98" s="12"/>
      <c r="P98" s="14"/>
      <c r="Q98" s="12"/>
      <c r="R98" s="12"/>
      <c r="S98" s="14"/>
      <c r="T98" s="14"/>
      <c r="U98" s="26"/>
      <c r="V98" s="7"/>
    </row>
    <row r="99" spans="1:22">
      <c r="A99" s="93"/>
      <c r="B99" s="14"/>
      <c r="C99" s="14"/>
      <c r="D99" s="14"/>
      <c r="E99" s="14"/>
      <c r="F99" s="14"/>
      <c r="G99" s="21"/>
      <c r="H99" s="12"/>
      <c r="I99" s="18"/>
      <c r="J99" s="24"/>
      <c r="K99" s="24"/>
      <c r="L99" s="24"/>
      <c r="M99" s="24"/>
      <c r="N99" s="12"/>
      <c r="O99" s="12"/>
      <c r="P99" s="14"/>
      <c r="Q99" s="12"/>
      <c r="R99" s="12"/>
      <c r="S99" s="14"/>
      <c r="T99" s="14"/>
      <c r="U99" s="26"/>
      <c r="V99" s="7"/>
    </row>
    <row r="100" spans="1:22">
      <c r="A100" s="93"/>
      <c r="B100" s="14"/>
      <c r="C100" s="14"/>
      <c r="D100" s="14"/>
      <c r="E100" s="14"/>
      <c r="F100" s="14"/>
      <c r="G100" s="21"/>
      <c r="H100" s="12"/>
      <c r="I100" s="18"/>
      <c r="J100" s="24"/>
      <c r="K100" s="24"/>
      <c r="L100" s="24"/>
      <c r="M100" s="24"/>
      <c r="N100" s="12"/>
      <c r="O100" s="12"/>
      <c r="P100" s="14"/>
      <c r="Q100" s="12"/>
      <c r="R100" s="12"/>
      <c r="S100" s="14"/>
      <c r="T100" s="14"/>
      <c r="U100" s="26"/>
      <c r="V100" s="7"/>
    </row>
    <row r="101" spans="1:22" ht="21" thickBot="1">
      <c r="A101" s="94"/>
      <c r="B101" s="16"/>
      <c r="C101" s="16"/>
      <c r="D101" s="16"/>
      <c r="E101" s="16"/>
      <c r="F101" s="16"/>
      <c r="G101" s="22"/>
      <c r="H101" s="15"/>
      <c r="I101" s="19"/>
      <c r="J101" s="25"/>
      <c r="K101" s="25"/>
      <c r="L101" s="25"/>
      <c r="M101" s="25"/>
      <c r="N101" s="15"/>
      <c r="O101" s="15"/>
      <c r="P101" s="16"/>
      <c r="Q101" s="15"/>
      <c r="R101" s="15"/>
      <c r="S101" s="16"/>
      <c r="T101" s="16"/>
      <c r="U101" s="28"/>
      <c r="V101" s="8"/>
    </row>
  </sheetData>
  <autoFilter ref="A4:V50" xr:uid="{D6891BAE-A4AF-BE47-A297-7519A32851BB}">
    <sortState xmlns:xlrd2="http://schemas.microsoft.com/office/spreadsheetml/2017/richdata2" ref="A5:V50">
      <sortCondition ref="B4:B50"/>
    </sortState>
  </autoFilter>
  <phoneticPr fontId="1"/>
  <dataValidations count="2">
    <dataValidation type="list" allowBlank="1" showInputMessage="1" showErrorMessage="1" sqref="H5:H101" xr:uid="{DE4F014B-27EA-EF46-A314-D35940F999A1}">
      <formula1>病変部位</formula1>
    </dataValidation>
    <dataValidation type="list" allowBlank="1" showInputMessage="1" showErrorMessage="1" sqref="I5:I101" xr:uid="{6675A163-8981-EC4D-BA75-7696A94E2320}">
      <formula1>INDIRECT(H5)</formula1>
    </dataValidation>
  </dataValidations>
  <pageMargins left="0.7" right="0.7" top="0.75" bottom="0.75" header="0.3" footer="0.3"/>
  <pageSetup paperSize="9" scale="86" orientation="portrait" horizontalDpi="0" verticalDpi="0"/>
  <colBreaks count="1" manualBreakCount="1">
    <brk id="7" max="1048575" man="1"/>
  </colBreak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9332B1B5-4090-1941-B74A-6B1681DDC508}">
          <x14:formula1>
            <xm:f>List!$P$2:$P$100</xm:f>
          </x14:formula1>
          <xm:sqref>G5:G101</xm:sqref>
        </x14:dataValidation>
        <x14:dataValidation type="list" allowBlank="1" showInputMessage="1" showErrorMessage="1" xr:uid="{D0BDAB83-E7BA-2142-9E51-FD031ED3CAEE}">
          <x14:formula1>
            <xm:f>List!$M$2:$M$5</xm:f>
          </x14:formula1>
          <xm:sqref>N5:N101</xm:sqref>
        </x14:dataValidation>
        <x14:dataValidation type="list" allowBlank="1" showInputMessage="1" showErrorMessage="1" xr:uid="{EAFF85D0-CBBE-5E4C-90C2-B8AE72945273}">
          <x14:formula1>
            <xm:f>List!$N$2:$N$4</xm:f>
          </x14:formula1>
          <xm:sqref>O5:O101</xm:sqref>
        </x14:dataValidation>
        <x14:dataValidation type="list" allowBlank="1" showInputMessage="1" showErrorMessage="1" xr:uid="{4C5AF140-D8D8-C14F-BBA5-6AE4A49E8FE6}">
          <x14:formula1>
            <xm:f>List!$O$2:$O$4</xm:f>
          </x14:formula1>
          <xm:sqref>P5:S101</xm:sqref>
        </x14:dataValidation>
        <x14:dataValidation type="list" allowBlank="1" showInputMessage="1" showErrorMessage="1" xr:uid="{A2805DE2-EE05-134B-A4EE-3841D751B113}">
          <x14:formula1>
            <xm:f>List!$U$2:$U$26</xm:f>
          </x14:formula1>
          <xm:sqref>J5:J101</xm:sqref>
        </x14:dataValidation>
        <x14:dataValidation type="list" allowBlank="1" showInputMessage="1" showErrorMessage="1" xr:uid="{B6FA14FD-C03C-7F4B-AF69-83AE404D21B3}">
          <x14:formula1>
            <xm:f>List!$V$2:$V$15</xm:f>
          </x14:formula1>
          <xm:sqref>K5:K101</xm:sqref>
        </x14:dataValidation>
        <x14:dataValidation type="list" allowBlank="1" showInputMessage="1" showErrorMessage="1" xr:uid="{7B0C0CBE-D21A-4A44-8093-80A629082FA6}">
          <x14:formula1>
            <xm:f>List!$W$2:$W$8</xm:f>
          </x14:formula1>
          <xm:sqref>L5:L101</xm:sqref>
        </x14:dataValidation>
        <x14:dataValidation type="list" allowBlank="1" showInputMessage="1" showErrorMessage="1" xr:uid="{CFC5EAB7-D857-684F-B767-355693BF3175}">
          <x14:formula1>
            <xm:f>List!$X$2:$X$18</xm:f>
          </x14:formula1>
          <xm:sqref>M5:M101</xm:sqref>
        </x14:dataValidation>
        <x14:dataValidation type="list" allowBlank="1" showInputMessage="1" showErrorMessage="1" xr:uid="{FB6225D6-72D4-7544-9ACA-491AD5E670D7}">
          <x14:formula1>
            <xm:f>List!$AA$2:$AA$35</xm:f>
          </x14:formula1>
          <xm:sqref>U5:U101</xm:sqref>
        </x14:dataValidation>
        <x14:dataValidation type="list" allowBlank="1" showInputMessage="1" xr:uid="{ED0BBF2E-DB4F-104A-9DCE-35ED976F042A}">
          <x14:formula1>
            <xm:f>List!$G$2:$G$16</xm:f>
          </x14:formula1>
          <xm:sqref>A5:A101</xm:sqref>
        </x14:dataValidation>
        <x14:dataValidation type="list" allowBlank="1" showInputMessage="1" xr:uid="{E06FFC9F-6F0F-9743-B876-64DFAA491E3C}">
          <x14:formula1>
            <xm:f>List!$H$2:$H$17</xm:f>
          </x14:formula1>
          <xm:sqref>D5:D101</xm:sqref>
        </x14:dataValidation>
        <x14:dataValidation type="list" allowBlank="1" showInputMessage="1" xr:uid="{60C5CB5E-F238-584C-81A6-1C2353E97D95}">
          <x14:formula1>
            <xm:f>List!$I$2:$I$7</xm:f>
          </x14:formula1>
          <xm:sqref>F5:F101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4479-E5E5-6846-A569-E5AEC55E82E9}">
  <sheetPr codeName="Sheet4">
    <pageSetUpPr fitToPage="1"/>
  </sheetPr>
  <dimension ref="A1:M26"/>
  <sheetViews>
    <sheetView zoomScale="120" zoomScaleNormal="120" workbookViewId="0">
      <selection activeCell="B18" sqref="B18"/>
    </sheetView>
  </sheetViews>
  <sheetFormatPr baseColWidth="10" defaultRowHeight="20"/>
  <cols>
    <col min="1" max="1" width="12.7109375" style="41" customWidth="1"/>
    <col min="2" max="2" width="41.5703125" style="2" customWidth="1"/>
    <col min="3" max="4" width="12.7109375" style="2" customWidth="1"/>
    <col min="5" max="5" width="15.7109375" style="2" bestFit="1" customWidth="1"/>
    <col min="6" max="6" width="25.7109375" style="2" customWidth="1"/>
    <col min="7" max="7" width="8.7109375" style="2" bestFit="1" customWidth="1"/>
    <col min="8" max="8" width="25.7109375" style="2" customWidth="1"/>
    <col min="9" max="9" width="8.7109375" style="2" bestFit="1" customWidth="1"/>
    <col min="10" max="10" width="25.7109375" style="2" customWidth="1"/>
    <col min="11" max="11" width="8.7109375" style="2" bestFit="1" customWidth="1"/>
    <col min="12" max="12" width="10.7109375" style="2"/>
    <col min="13" max="13" width="15.7109375" style="2" customWidth="1"/>
    <col min="14" max="16384" width="10.7109375" style="2"/>
  </cols>
  <sheetData>
    <row r="1" spans="1:13" ht="21" thickBot="1">
      <c r="A1" s="83" t="s">
        <v>1</v>
      </c>
      <c r="B1" s="10" t="s">
        <v>1394</v>
      </c>
      <c r="C1" s="10" t="str">
        <f>登録票!C5</f>
        <v>111-222-333</v>
      </c>
    </row>
    <row r="2" spans="1:13" ht="21" thickBot="1">
      <c r="A2" s="84"/>
      <c r="B2" s="17" t="s">
        <v>1375</v>
      </c>
      <c r="C2" s="137">
        <f>登録票!C6</f>
        <v>25569</v>
      </c>
      <c r="F2" s="2" t="s">
        <v>1245</v>
      </c>
    </row>
    <row r="3" spans="1:13" ht="21" thickBot="1">
      <c r="A3" s="86"/>
      <c r="B3" s="11" t="s">
        <v>1294</v>
      </c>
      <c r="C3" s="10" t="str">
        <f>登録票!C9</f>
        <v>女</v>
      </c>
    </row>
    <row r="4" spans="1:13" ht="21" thickBot="1">
      <c r="A4" s="82" t="s">
        <v>1110</v>
      </c>
      <c r="B4" s="75" t="s">
        <v>1098</v>
      </c>
      <c r="C4" s="75" t="s">
        <v>1111</v>
      </c>
      <c r="D4" s="76" t="s">
        <v>1112</v>
      </c>
      <c r="E4" s="77" t="s">
        <v>1237</v>
      </c>
      <c r="F4" s="63" t="s">
        <v>1221</v>
      </c>
      <c r="G4" s="78" t="s">
        <v>1225</v>
      </c>
      <c r="H4" s="79" t="s">
        <v>1222</v>
      </c>
      <c r="I4" s="76" t="s">
        <v>1225</v>
      </c>
      <c r="J4" s="63" t="s">
        <v>1223</v>
      </c>
      <c r="K4" s="78" t="s">
        <v>1225</v>
      </c>
    </row>
    <row r="5" spans="1:13">
      <c r="A5" s="85"/>
      <c r="B5" s="64" t="s">
        <v>1101</v>
      </c>
      <c r="C5" s="34">
        <v>45658</v>
      </c>
      <c r="D5" s="65">
        <v>45992</v>
      </c>
      <c r="E5" s="66" t="s">
        <v>1288</v>
      </c>
      <c r="F5" s="67" t="s">
        <v>1280</v>
      </c>
      <c r="G5" s="35" t="s">
        <v>1281</v>
      </c>
      <c r="H5" s="68"/>
      <c r="I5" s="69"/>
      <c r="J5" s="38"/>
      <c r="K5" s="70"/>
      <c r="M5" s="9"/>
    </row>
    <row r="6" spans="1:13">
      <c r="A6" s="85"/>
      <c r="B6" s="14" t="s">
        <v>1246</v>
      </c>
      <c r="C6" s="13">
        <v>46023</v>
      </c>
      <c r="D6" s="71"/>
      <c r="E6" s="72"/>
      <c r="F6" s="39"/>
      <c r="G6" s="36"/>
      <c r="H6" s="54"/>
      <c r="I6" s="71"/>
      <c r="J6" s="39"/>
      <c r="K6" s="36"/>
    </row>
    <row r="7" spans="1:13">
      <c r="A7" s="85"/>
      <c r="B7" s="14"/>
      <c r="C7" s="14"/>
      <c r="D7" s="71"/>
      <c r="E7" s="72"/>
      <c r="F7" s="39"/>
      <c r="G7" s="36"/>
      <c r="H7" s="54"/>
      <c r="I7" s="71"/>
      <c r="J7" s="39"/>
      <c r="K7" s="36"/>
    </row>
    <row r="8" spans="1:13">
      <c r="A8" s="85"/>
      <c r="B8" s="14"/>
      <c r="C8" s="14"/>
      <c r="D8" s="71"/>
      <c r="E8" s="72"/>
      <c r="F8" s="39"/>
      <c r="G8" s="36"/>
      <c r="H8" s="54"/>
      <c r="I8" s="71"/>
      <c r="J8" s="39"/>
      <c r="K8" s="36"/>
    </row>
    <row r="9" spans="1:13">
      <c r="A9" s="85"/>
      <c r="B9" s="14"/>
      <c r="C9" s="14"/>
      <c r="D9" s="71"/>
      <c r="E9" s="72"/>
      <c r="F9" s="39"/>
      <c r="G9" s="36"/>
      <c r="H9" s="54"/>
      <c r="I9" s="71"/>
      <c r="J9" s="39"/>
      <c r="K9" s="36"/>
    </row>
    <row r="10" spans="1:13">
      <c r="A10" s="85"/>
      <c r="B10" s="14"/>
      <c r="C10" s="14"/>
      <c r="D10" s="71"/>
      <c r="E10" s="72"/>
      <c r="F10" s="39"/>
      <c r="G10" s="36"/>
      <c r="H10" s="54"/>
      <c r="I10" s="71"/>
      <c r="J10" s="39"/>
      <c r="K10" s="36"/>
    </row>
    <row r="11" spans="1:13">
      <c r="A11" s="85"/>
      <c r="B11" s="14"/>
      <c r="C11" s="14"/>
      <c r="D11" s="71"/>
      <c r="E11" s="72"/>
      <c r="F11" s="39"/>
      <c r="G11" s="36"/>
      <c r="H11" s="54"/>
      <c r="I11" s="71"/>
      <c r="J11" s="39"/>
      <c r="K11" s="36"/>
    </row>
    <row r="12" spans="1:13">
      <c r="A12" s="85"/>
      <c r="B12" s="14"/>
      <c r="C12" s="14"/>
      <c r="D12" s="71"/>
      <c r="E12" s="72"/>
      <c r="F12" s="39"/>
      <c r="G12" s="36"/>
      <c r="H12" s="54"/>
      <c r="I12" s="71"/>
      <c r="J12" s="39"/>
      <c r="K12" s="36"/>
    </row>
    <row r="13" spans="1:13">
      <c r="A13" s="85"/>
      <c r="B13" s="14"/>
      <c r="C13" s="14"/>
      <c r="D13" s="71"/>
      <c r="E13" s="72"/>
      <c r="F13" s="39"/>
      <c r="G13" s="36"/>
      <c r="H13" s="54"/>
      <c r="I13" s="71"/>
      <c r="J13" s="39"/>
      <c r="K13" s="36"/>
    </row>
    <row r="14" spans="1:13">
      <c r="A14" s="85"/>
      <c r="B14" s="14"/>
      <c r="C14" s="14"/>
      <c r="D14" s="71"/>
      <c r="E14" s="72"/>
      <c r="F14" s="39"/>
      <c r="G14" s="36"/>
      <c r="H14" s="54"/>
      <c r="I14" s="71"/>
      <c r="J14" s="39"/>
      <c r="K14" s="36"/>
    </row>
    <row r="15" spans="1:13">
      <c r="A15" s="85"/>
      <c r="B15" s="14"/>
      <c r="C15" s="14"/>
      <c r="D15" s="71"/>
      <c r="E15" s="72"/>
      <c r="F15" s="39"/>
      <c r="G15" s="36"/>
      <c r="H15" s="54"/>
      <c r="I15" s="71"/>
      <c r="J15" s="39"/>
      <c r="K15" s="36"/>
    </row>
    <row r="16" spans="1:13">
      <c r="A16" s="85"/>
      <c r="B16" s="14"/>
      <c r="C16" s="14"/>
      <c r="D16" s="71"/>
      <c r="E16" s="72"/>
      <c r="F16" s="39"/>
      <c r="G16" s="36"/>
      <c r="H16" s="54"/>
      <c r="I16" s="71"/>
      <c r="J16" s="39"/>
      <c r="K16" s="36"/>
    </row>
    <row r="17" spans="1:11">
      <c r="A17" s="85"/>
      <c r="B17" s="14"/>
      <c r="C17" s="14"/>
      <c r="D17" s="71"/>
      <c r="E17" s="72"/>
      <c r="F17" s="39"/>
      <c r="G17" s="36"/>
      <c r="H17" s="54"/>
      <c r="I17" s="71"/>
      <c r="J17" s="39"/>
      <c r="K17" s="36"/>
    </row>
    <row r="18" spans="1:11">
      <c r="A18" s="85"/>
      <c r="B18" s="14"/>
      <c r="C18" s="14"/>
      <c r="D18" s="71"/>
      <c r="E18" s="72"/>
      <c r="F18" s="39"/>
      <c r="G18" s="36"/>
      <c r="H18" s="54"/>
      <c r="I18" s="71"/>
      <c r="J18" s="39"/>
      <c r="K18" s="36"/>
    </row>
    <row r="19" spans="1:11">
      <c r="A19" s="85"/>
      <c r="B19" s="14"/>
      <c r="C19" s="14"/>
      <c r="D19" s="71"/>
      <c r="E19" s="72"/>
      <c r="F19" s="39"/>
      <c r="G19" s="36"/>
      <c r="H19" s="54"/>
      <c r="I19" s="71"/>
      <c r="J19" s="39"/>
      <c r="K19" s="36"/>
    </row>
    <row r="20" spans="1:11">
      <c r="A20" s="85"/>
      <c r="B20" s="14"/>
      <c r="C20" s="14"/>
      <c r="D20" s="71"/>
      <c r="E20" s="72"/>
      <c r="F20" s="39"/>
      <c r="G20" s="36"/>
      <c r="H20" s="54"/>
      <c r="I20" s="71"/>
      <c r="J20" s="39"/>
      <c r="K20" s="36"/>
    </row>
    <row r="21" spans="1:11">
      <c r="A21" s="85"/>
      <c r="B21" s="14"/>
      <c r="C21" s="14"/>
      <c r="D21" s="71"/>
      <c r="E21" s="72"/>
      <c r="F21" s="39"/>
      <c r="G21" s="36"/>
      <c r="H21" s="54"/>
      <c r="I21" s="71"/>
      <c r="J21" s="39"/>
      <c r="K21" s="36"/>
    </row>
    <row r="22" spans="1:11">
      <c r="A22" s="85"/>
      <c r="B22" s="14"/>
      <c r="C22" s="14"/>
      <c r="D22" s="71"/>
      <c r="E22" s="72"/>
      <c r="F22" s="39"/>
      <c r="G22" s="36"/>
      <c r="H22" s="54"/>
      <c r="I22" s="71"/>
      <c r="J22" s="39"/>
      <c r="K22" s="36"/>
    </row>
    <row r="23" spans="1:11">
      <c r="A23" s="85"/>
      <c r="B23" s="14"/>
      <c r="C23" s="14"/>
      <c r="D23" s="71"/>
      <c r="E23" s="72"/>
      <c r="F23" s="39"/>
      <c r="G23" s="36"/>
      <c r="H23" s="54"/>
      <c r="I23" s="71"/>
      <c r="J23" s="39"/>
      <c r="K23" s="36"/>
    </row>
    <row r="24" spans="1:11" ht="21" thickBot="1">
      <c r="A24" s="80"/>
      <c r="B24" s="16"/>
      <c r="C24" s="16"/>
      <c r="D24" s="73"/>
      <c r="E24" s="74"/>
      <c r="F24" s="40"/>
      <c r="G24" s="37"/>
      <c r="H24" s="56"/>
      <c r="I24" s="73"/>
      <c r="J24" s="40"/>
      <c r="K24" s="37"/>
    </row>
    <row r="26" spans="1:11">
      <c r="B26" s="2" t="s">
        <v>1099</v>
      </c>
    </row>
  </sheetData>
  <phoneticPr fontId="1"/>
  <pageMargins left="0.7" right="0.7" top="0.75" bottom="0.75" header="0.3" footer="0.3"/>
  <pageSetup paperSize="9" scale="70" orientation="landscape" horizontalDpi="0" verticalDpi="0"/>
  <colBreaks count="1" manualBreakCount="1">
    <brk id="5" max="1048575" man="1"/>
  </colBreak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3722211E-57B1-C043-A2E1-07CA9D7A89D0}">
          <x14:formula1>
            <xm:f>List!$Z$2:$Z$10</xm:f>
          </x14:formula1>
          <xm:sqref>B5:B24</xm:sqref>
        </x14:dataValidation>
        <x14:dataValidation type="list" allowBlank="1" showInputMessage="1" showErrorMessage="1" xr:uid="{666556E2-1809-6D45-ABD5-2A78BB1BF044}">
          <x14:formula1>
            <xm:f>List!$AC$2:$AC$14</xm:f>
          </x14:formula1>
          <xm:sqref>F5:F24 H5:H24 J5:J24</xm:sqref>
        </x14:dataValidation>
        <x14:dataValidation type="list" allowBlank="1" showInputMessage="1" showErrorMessage="1" xr:uid="{F8BCA286-D2D9-2B47-BB7B-54EB99640644}">
          <x14:formula1>
            <xm:f>List!$AD$2:$AD$3</xm:f>
          </x14:formula1>
          <xm:sqref>G5:G24 I5:I24 K5:K24</xm:sqref>
        </x14:dataValidation>
        <x14:dataValidation type="list" allowBlank="1" showInputMessage="1" showErrorMessage="1" xr:uid="{161F7EF5-09AC-2143-8618-E7A4946F6993}">
          <x14:formula1>
            <xm:f>List!$AB$2:$AB$10</xm:f>
          </x14:formula1>
          <xm:sqref>E5:E24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3E984-34D0-C94E-92E9-DD04EA5C0783}">
  <sheetPr codeName="Sheet5"/>
  <dimension ref="A1:H36"/>
  <sheetViews>
    <sheetView zoomScale="120" zoomScaleNormal="120" workbookViewId="0">
      <selection activeCell="H2" sqref="H2"/>
    </sheetView>
  </sheetViews>
  <sheetFormatPr baseColWidth="10" defaultRowHeight="20"/>
  <cols>
    <col min="1" max="1" width="10.7109375" style="2"/>
    <col min="2" max="2" width="17.5703125" style="2" bestFit="1" customWidth="1"/>
    <col min="3" max="3" width="23.28515625" style="2" bestFit="1" customWidth="1"/>
    <col min="4" max="4" width="17.5703125" style="2" bestFit="1" customWidth="1"/>
    <col min="5" max="5" width="15.7109375" style="2" bestFit="1" customWidth="1"/>
    <col min="6" max="6" width="10.7109375" style="2"/>
    <col min="7" max="9" width="11.85546875" style="2" customWidth="1"/>
    <col min="10" max="16384" width="10.7109375" style="2"/>
  </cols>
  <sheetData>
    <row r="1" spans="1:8" ht="21" thickBot="1">
      <c r="A1" s="83" t="s">
        <v>1</v>
      </c>
      <c r="B1" s="50" t="s">
        <v>15</v>
      </c>
      <c r="C1" s="10" t="str">
        <f>登録票!C5</f>
        <v>111-222-333</v>
      </c>
    </row>
    <row r="2" spans="1:8" ht="21" thickBot="1">
      <c r="A2" s="84"/>
      <c r="B2" s="51" t="s">
        <v>16</v>
      </c>
      <c r="C2" s="137">
        <f>登録票!C6</f>
        <v>25569</v>
      </c>
    </row>
    <row r="3" spans="1:8" ht="21" thickBot="1">
      <c r="A3" s="84"/>
      <c r="B3" s="52" t="s">
        <v>17</v>
      </c>
      <c r="C3" s="10" t="str">
        <f>登録票!C9</f>
        <v>女</v>
      </c>
    </row>
    <row r="4" spans="1:8">
      <c r="A4" s="83" t="s">
        <v>1256</v>
      </c>
      <c r="B4" s="112" t="s">
        <v>1255</v>
      </c>
      <c r="C4" s="47" t="s">
        <v>1254</v>
      </c>
      <c r="D4" s="47" t="s">
        <v>1258</v>
      </c>
      <c r="E4" s="48" t="s">
        <v>1259</v>
      </c>
    </row>
    <row r="5" spans="1:8" ht="21" thickBot="1">
      <c r="A5" s="45"/>
      <c r="B5" s="40" t="s">
        <v>8</v>
      </c>
      <c r="C5" s="16">
        <v>20</v>
      </c>
      <c r="D5" s="16">
        <v>20</v>
      </c>
      <c r="E5" s="37">
        <v>40</v>
      </c>
    </row>
    <row r="6" spans="1:8">
      <c r="A6" s="84"/>
      <c r="B6" s="92" t="s">
        <v>11</v>
      </c>
      <c r="C6" s="41"/>
      <c r="D6" s="41"/>
      <c r="E6" s="41"/>
      <c r="G6" s="2" t="s">
        <v>1283</v>
      </c>
      <c r="H6" s="2" t="s">
        <v>1282</v>
      </c>
    </row>
    <row r="7" spans="1:8" ht="21" thickBot="1">
      <c r="A7" s="81"/>
      <c r="B7" s="5" t="s">
        <v>1345</v>
      </c>
      <c r="G7" s="2" t="s">
        <v>1308</v>
      </c>
    </row>
    <row r="8" spans="1:8">
      <c r="A8" s="84" t="s">
        <v>1264</v>
      </c>
      <c r="B8" s="112" t="s">
        <v>1277</v>
      </c>
      <c r="C8" s="47" t="s">
        <v>1265</v>
      </c>
      <c r="D8" s="47" t="s">
        <v>1257</v>
      </c>
      <c r="E8" s="48" t="s">
        <v>1266</v>
      </c>
      <c r="G8" s="2" t="s">
        <v>1309</v>
      </c>
    </row>
    <row r="9" spans="1:8">
      <c r="A9" s="45"/>
      <c r="B9" s="39" t="s">
        <v>8</v>
      </c>
      <c r="C9" s="14">
        <v>25</v>
      </c>
      <c r="D9" s="14" t="s">
        <v>8</v>
      </c>
      <c r="E9" s="36">
        <v>30</v>
      </c>
    </row>
    <row r="10" spans="1:8">
      <c r="A10" s="84"/>
      <c r="B10" s="113" t="s">
        <v>1278</v>
      </c>
      <c r="C10" s="46" t="s">
        <v>1265</v>
      </c>
      <c r="D10" s="46" t="s">
        <v>1257</v>
      </c>
      <c r="E10" s="49" t="s">
        <v>1266</v>
      </c>
    </row>
    <row r="11" spans="1:8">
      <c r="A11" s="45"/>
      <c r="B11" s="39" t="s">
        <v>8</v>
      </c>
      <c r="C11" s="14">
        <v>31</v>
      </c>
      <c r="D11" s="14" t="s">
        <v>8</v>
      </c>
      <c r="E11" s="36">
        <v>32</v>
      </c>
    </row>
    <row r="12" spans="1:8">
      <c r="A12" s="84"/>
      <c r="B12" s="113" t="s">
        <v>1279</v>
      </c>
      <c r="C12" s="46" t="s">
        <v>1265</v>
      </c>
      <c r="D12" s="46" t="s">
        <v>1257</v>
      </c>
      <c r="E12" s="49" t="s">
        <v>1266</v>
      </c>
    </row>
    <row r="13" spans="1:8" ht="21" thickBot="1">
      <c r="A13" s="81"/>
      <c r="B13" s="40" t="s">
        <v>8</v>
      </c>
      <c r="C13" s="16">
        <v>35</v>
      </c>
      <c r="D13" s="16"/>
      <c r="E13" s="37"/>
    </row>
    <row r="14" spans="1:8">
      <c r="A14" s="83" t="s">
        <v>1267</v>
      </c>
      <c r="B14" s="60" t="s">
        <v>1260</v>
      </c>
      <c r="C14" s="61" t="s">
        <v>1271</v>
      </c>
      <c r="D14" s="61" t="s">
        <v>1272</v>
      </c>
      <c r="E14" s="62" t="s">
        <v>1270</v>
      </c>
    </row>
    <row r="15" spans="1:8">
      <c r="A15" s="45"/>
      <c r="B15" s="54" t="s">
        <v>8</v>
      </c>
      <c r="C15" s="14">
        <v>25</v>
      </c>
      <c r="D15" s="14" t="s">
        <v>1273</v>
      </c>
      <c r="E15" s="36"/>
    </row>
    <row r="16" spans="1:8">
      <c r="A16" s="84"/>
      <c r="B16" s="55" t="s">
        <v>1261</v>
      </c>
      <c r="C16" s="61" t="s">
        <v>1271</v>
      </c>
      <c r="D16" s="61" t="s">
        <v>1272</v>
      </c>
      <c r="E16" s="62" t="s">
        <v>1270</v>
      </c>
    </row>
    <row r="17" spans="1:5">
      <c r="A17" s="45"/>
      <c r="B17" s="54" t="s">
        <v>8</v>
      </c>
      <c r="C17" s="14">
        <v>26</v>
      </c>
      <c r="D17" s="14" t="s">
        <v>1274</v>
      </c>
      <c r="E17" s="36" t="s">
        <v>1269</v>
      </c>
    </row>
    <row r="18" spans="1:5">
      <c r="A18" s="45"/>
      <c r="B18" s="55" t="s">
        <v>1262</v>
      </c>
      <c r="C18" s="61" t="s">
        <v>1271</v>
      </c>
      <c r="D18" s="61" t="s">
        <v>1272</v>
      </c>
      <c r="E18" s="62" t="s">
        <v>1270</v>
      </c>
    </row>
    <row r="19" spans="1:5">
      <c r="A19" s="45"/>
      <c r="B19" s="54" t="s">
        <v>8</v>
      </c>
      <c r="C19" s="14">
        <v>27</v>
      </c>
      <c r="D19" s="14" t="s">
        <v>67</v>
      </c>
      <c r="E19" s="36" t="s">
        <v>1275</v>
      </c>
    </row>
    <row r="20" spans="1:5">
      <c r="A20" s="45"/>
      <c r="B20" s="55" t="s">
        <v>1263</v>
      </c>
      <c r="C20" s="61" t="s">
        <v>1271</v>
      </c>
      <c r="D20" s="61" t="s">
        <v>1272</v>
      </c>
      <c r="E20" s="62" t="s">
        <v>1270</v>
      </c>
    </row>
    <row r="21" spans="1:5">
      <c r="A21" s="45"/>
      <c r="B21" s="54" t="s">
        <v>8</v>
      </c>
      <c r="C21" s="14">
        <v>28</v>
      </c>
      <c r="D21" s="14" t="s">
        <v>1276</v>
      </c>
      <c r="E21" s="36"/>
    </row>
    <row r="22" spans="1:5">
      <c r="A22" s="45"/>
      <c r="B22" s="55" t="s">
        <v>1268</v>
      </c>
      <c r="C22" s="61" t="s">
        <v>1271</v>
      </c>
      <c r="D22" s="61" t="s">
        <v>1272</v>
      </c>
      <c r="E22" s="62" t="s">
        <v>1270</v>
      </c>
    </row>
    <row r="23" spans="1:5" ht="21" thickBot="1">
      <c r="A23" s="81"/>
      <c r="B23" s="57"/>
      <c r="C23" s="58"/>
      <c r="D23" s="58"/>
      <c r="E23" s="59"/>
    </row>
    <row r="24" spans="1:5">
      <c r="A24" s="83" t="s">
        <v>1291</v>
      </c>
      <c r="B24" s="53" t="s">
        <v>53</v>
      </c>
      <c r="C24" s="47" t="s">
        <v>1292</v>
      </c>
      <c r="D24" s="47" t="s">
        <v>1293</v>
      </c>
      <c r="E24" s="48"/>
    </row>
    <row r="25" spans="1:5" ht="21" thickBot="1">
      <c r="A25" s="81"/>
      <c r="B25" s="56" t="s">
        <v>8</v>
      </c>
      <c r="C25" s="16">
        <v>40</v>
      </c>
      <c r="D25" s="16" t="s">
        <v>55</v>
      </c>
      <c r="E25" s="37"/>
    </row>
    <row r="26" spans="1:5">
      <c r="A26" s="119" t="s">
        <v>1320</v>
      </c>
      <c r="B26" s="112" t="s">
        <v>1322</v>
      </c>
      <c r="C26" s="120" t="s">
        <v>1311</v>
      </c>
      <c r="D26" s="48" t="s">
        <v>1329</v>
      </c>
    </row>
    <row r="27" spans="1:5">
      <c r="A27" s="122"/>
      <c r="B27" s="118" t="s">
        <v>18</v>
      </c>
      <c r="C27" s="111" t="s">
        <v>1328</v>
      </c>
      <c r="D27" s="36">
        <v>49</v>
      </c>
    </row>
    <row r="28" spans="1:5">
      <c r="A28" s="122"/>
      <c r="B28" s="118" t="s">
        <v>19</v>
      </c>
      <c r="C28" s="111" t="s">
        <v>1330</v>
      </c>
      <c r="D28" s="36">
        <v>49</v>
      </c>
    </row>
    <row r="29" spans="1:5">
      <c r="A29" s="122"/>
      <c r="B29" s="118" t="s">
        <v>20</v>
      </c>
      <c r="C29" s="111" t="s">
        <v>1319</v>
      </c>
      <c r="D29" s="36">
        <v>53</v>
      </c>
    </row>
    <row r="30" spans="1:5">
      <c r="A30" s="122"/>
      <c r="B30" s="118" t="s">
        <v>1284</v>
      </c>
      <c r="C30" s="14"/>
      <c r="D30" s="36"/>
    </row>
    <row r="31" spans="1:5">
      <c r="A31" s="122"/>
      <c r="B31" s="118" t="s">
        <v>1285</v>
      </c>
      <c r="C31" s="14"/>
      <c r="D31" s="36"/>
    </row>
    <row r="32" spans="1:5">
      <c r="A32" s="122"/>
      <c r="B32" s="118" t="s">
        <v>1286</v>
      </c>
      <c r="C32" s="14"/>
      <c r="D32" s="36"/>
    </row>
    <row r="33" spans="1:4">
      <c r="A33" s="122"/>
      <c r="B33" s="113"/>
      <c r="C33" s="14"/>
      <c r="D33" s="36"/>
    </row>
    <row r="34" spans="1:4">
      <c r="A34" s="122"/>
      <c r="B34" s="113"/>
      <c r="C34" s="14"/>
      <c r="D34" s="36"/>
    </row>
    <row r="35" spans="1:4">
      <c r="A35" s="122"/>
      <c r="B35" s="113"/>
      <c r="C35" s="14"/>
      <c r="D35" s="36"/>
    </row>
    <row r="36" spans="1:4" ht="21" thickBot="1">
      <c r="A36" s="123"/>
      <c r="B36" s="114"/>
      <c r="C36" s="16"/>
      <c r="D36" s="37"/>
    </row>
  </sheetData>
  <sheetProtection selectLockedCells="1" selectUnlockedCells="1"/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8383F9-5962-2C49-849F-3F757E6687A2}">
          <x14:formula1>
            <xm:f>List!$AF$2:$AF$6</xm:f>
          </x14:formula1>
          <xm:sqref>B7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98BC4-1BDC-6341-B4E7-6D08F3217321}">
  <sheetPr codeName="Sheet6"/>
  <dimension ref="A1:E24"/>
  <sheetViews>
    <sheetView zoomScale="120" zoomScaleNormal="120" workbookViewId="0">
      <selection activeCell="C14" sqref="C14"/>
    </sheetView>
  </sheetViews>
  <sheetFormatPr baseColWidth="10" defaultRowHeight="20"/>
  <cols>
    <col min="1" max="1" width="10.7109375" style="2"/>
    <col min="2" max="2" width="24.42578125" style="2" bestFit="1" customWidth="1"/>
    <col min="3" max="3" width="23.28515625" style="2" bestFit="1" customWidth="1"/>
    <col min="4" max="4" width="17.5703125" style="2" bestFit="1" customWidth="1"/>
    <col min="5" max="5" width="15.7109375" style="2" bestFit="1" customWidth="1"/>
    <col min="6" max="6" width="10.7109375" style="2"/>
    <col min="7" max="9" width="11.85546875" style="2" customWidth="1"/>
    <col min="10" max="16384" width="10.7109375" style="2"/>
  </cols>
  <sheetData>
    <row r="1" spans="1:5" ht="21" thickBot="1">
      <c r="A1" s="83" t="s">
        <v>1</v>
      </c>
      <c r="B1" s="50" t="s">
        <v>1394</v>
      </c>
      <c r="C1" s="10" t="str">
        <f>登録票!C5</f>
        <v>111-222-333</v>
      </c>
    </row>
    <row r="2" spans="1:5" ht="21" thickBot="1">
      <c r="A2" s="84"/>
      <c r="B2" s="51" t="s">
        <v>1375</v>
      </c>
      <c r="C2" s="137">
        <f>登録票!C6</f>
        <v>25569</v>
      </c>
    </row>
    <row r="3" spans="1:5" ht="21" thickBot="1">
      <c r="A3" s="84"/>
      <c r="B3" s="52" t="s">
        <v>1294</v>
      </c>
      <c r="C3" s="10" t="str">
        <f>登録票!C9</f>
        <v>女</v>
      </c>
    </row>
    <row r="4" spans="1:5">
      <c r="A4" s="83" t="s">
        <v>1302</v>
      </c>
      <c r="B4" s="144" t="s">
        <v>1303</v>
      </c>
      <c r="C4" s="4" t="s">
        <v>1307</v>
      </c>
    </row>
    <row r="5" spans="1:5">
      <c r="A5" s="45"/>
      <c r="B5" s="145" t="s">
        <v>80</v>
      </c>
      <c r="C5" s="131"/>
    </row>
    <row r="6" spans="1:5">
      <c r="A6" s="45"/>
      <c r="B6" s="146" t="s">
        <v>1304</v>
      </c>
      <c r="C6" s="143">
        <v>46135</v>
      </c>
      <c r="D6" s="41"/>
      <c r="E6" s="41"/>
    </row>
    <row r="7" spans="1:5" ht="21" thickBot="1">
      <c r="A7" s="86"/>
      <c r="B7" s="147" t="s">
        <v>1305</v>
      </c>
      <c r="C7" s="91"/>
    </row>
    <row r="8" spans="1:5">
      <c r="A8" s="41"/>
      <c r="B8" s="41"/>
      <c r="C8" s="41"/>
      <c r="D8" s="41"/>
      <c r="E8" s="41"/>
    </row>
    <row r="10" spans="1:5">
      <c r="A10" s="41"/>
      <c r="B10" s="41"/>
      <c r="C10" s="41"/>
      <c r="D10" s="41"/>
      <c r="E10" s="41"/>
    </row>
    <row r="12" spans="1:5">
      <c r="A12" s="41"/>
      <c r="B12" s="41"/>
      <c r="C12" s="41"/>
      <c r="D12" s="41"/>
      <c r="E12" s="41"/>
    </row>
    <row r="14" spans="1:5">
      <c r="A14" s="41"/>
      <c r="B14" s="41"/>
      <c r="C14" s="41"/>
      <c r="D14" s="41"/>
      <c r="E14" s="41"/>
    </row>
    <row r="16" spans="1:5">
      <c r="A16" s="41"/>
      <c r="B16" s="41"/>
      <c r="C16" s="41"/>
      <c r="D16" s="41"/>
      <c r="E16" s="41"/>
    </row>
    <row r="18" spans="1:5">
      <c r="B18" s="41"/>
      <c r="C18" s="41"/>
      <c r="D18" s="41"/>
      <c r="E18" s="41"/>
    </row>
    <row r="20" spans="1:5">
      <c r="B20" s="41"/>
      <c r="C20" s="41"/>
      <c r="D20" s="41"/>
      <c r="E20" s="41"/>
    </row>
    <row r="22" spans="1:5">
      <c r="B22" s="41"/>
      <c r="C22" s="41"/>
      <c r="D22" s="41"/>
      <c r="E22" s="41"/>
    </row>
    <row r="24" spans="1:5">
      <c r="A24" s="41"/>
      <c r="B24" s="41"/>
      <c r="C24" s="41"/>
      <c r="D24" s="41"/>
      <c r="E24" s="41"/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AFC52E2-8D06-5D40-B42F-D7C459CCF344}">
          <x14:formula1>
            <xm:f>List!$AE$2:$AE$5</xm:f>
          </x14:formula1>
          <xm:sqref>C4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CD704-C964-1D4E-91BF-2401A3112E49}">
  <sheetPr codeName="Sheet7"/>
  <dimension ref="A1:AF869"/>
  <sheetViews>
    <sheetView workbookViewId="0">
      <selection activeCell="E4" sqref="E4"/>
    </sheetView>
  </sheetViews>
  <sheetFormatPr baseColWidth="10" defaultRowHeight="20"/>
  <cols>
    <col min="1" max="1" width="10.7109375" style="1"/>
    <col min="2" max="3" width="10.7109375" style="2"/>
    <col min="4" max="4" width="13.85546875" style="1" bestFit="1" customWidth="1"/>
    <col min="5" max="6" width="10.7109375" style="2"/>
    <col min="7" max="7" width="19.5703125" style="2" bestFit="1" customWidth="1"/>
    <col min="8" max="9" width="19.5703125" style="2" customWidth="1"/>
    <col min="10" max="11" width="10.7109375" style="2"/>
    <col min="12" max="12" width="7.5703125" style="2" bestFit="1" customWidth="1"/>
    <col min="13" max="13" width="10.7109375" style="2" customWidth="1"/>
    <col min="14" max="15" width="10.7109375" style="2"/>
    <col min="16" max="16" width="60.5703125" style="2" bestFit="1" customWidth="1"/>
    <col min="17" max="17" width="41.28515625" style="2" bestFit="1" customWidth="1"/>
    <col min="18" max="18" width="35" style="2" bestFit="1" customWidth="1"/>
    <col min="19" max="19" width="15.7109375" style="2" bestFit="1" customWidth="1"/>
    <col min="20" max="20" width="99.5703125" style="2" customWidth="1"/>
    <col min="21" max="25" width="10.7109375" style="2"/>
    <col min="26" max="26" width="44" style="2" bestFit="1" customWidth="1"/>
    <col min="27" max="27" width="26.7109375" style="2" bestFit="1" customWidth="1"/>
    <col min="28" max="28" width="15.7109375" style="2" bestFit="1" customWidth="1"/>
    <col min="29" max="29" width="25.140625" style="2" bestFit="1" customWidth="1"/>
    <col min="30" max="16384" width="10.7109375" style="2"/>
  </cols>
  <sheetData>
    <row r="1" spans="1:32">
      <c r="A1" s="1" t="s">
        <v>1294</v>
      </c>
      <c r="B1" s="2" t="s">
        <v>1295</v>
      </c>
      <c r="C1" s="2" t="s">
        <v>1298</v>
      </c>
      <c r="D1" s="1" t="s">
        <v>1300</v>
      </c>
      <c r="E1" s="2" t="s">
        <v>1454</v>
      </c>
      <c r="G1" s="41" t="s">
        <v>27</v>
      </c>
      <c r="H1" s="41" t="s">
        <v>27</v>
      </c>
      <c r="I1" s="41" t="s">
        <v>1365</v>
      </c>
      <c r="J1" s="41" t="s">
        <v>39</v>
      </c>
      <c r="K1" s="41"/>
      <c r="L1" s="41" t="s">
        <v>1253</v>
      </c>
      <c r="M1" s="41" t="s">
        <v>66</v>
      </c>
      <c r="N1" s="41" t="s">
        <v>21</v>
      </c>
      <c r="O1" s="41" t="s">
        <v>1252</v>
      </c>
      <c r="P1" s="41" t="s">
        <v>975</v>
      </c>
      <c r="Q1" s="41" t="s">
        <v>1003</v>
      </c>
      <c r="R1" s="41" t="s">
        <v>1004</v>
      </c>
      <c r="S1" s="41" t="s">
        <v>955</v>
      </c>
      <c r="T1" s="41" t="s">
        <v>953</v>
      </c>
      <c r="U1" s="41" t="s">
        <v>1141</v>
      </c>
      <c r="V1" s="41" t="s">
        <v>1142</v>
      </c>
      <c r="W1" s="41" t="s">
        <v>1143</v>
      </c>
      <c r="X1" s="41" t="s">
        <v>1144</v>
      </c>
      <c r="Y1" s="41"/>
      <c r="Z1" s="41" t="s">
        <v>1100</v>
      </c>
      <c r="AA1" s="41" t="s">
        <v>1121</v>
      </c>
      <c r="AB1" s="41" t="s">
        <v>1238</v>
      </c>
      <c r="AC1" s="41" t="s">
        <v>1220</v>
      </c>
      <c r="AD1" s="41" t="s">
        <v>1225</v>
      </c>
      <c r="AE1" s="2" t="s">
        <v>1303</v>
      </c>
      <c r="AF1" s="2" t="s">
        <v>11</v>
      </c>
    </row>
    <row r="2" spans="1:32">
      <c r="A2" s="1" t="s">
        <v>56</v>
      </c>
      <c r="B2" s="2" t="s">
        <v>1297</v>
      </c>
      <c r="C2" s="90" t="s">
        <v>5</v>
      </c>
      <c r="D2" s="1" t="s">
        <v>41</v>
      </c>
      <c r="E2" s="2" t="s">
        <v>1452</v>
      </c>
      <c r="G2" s="2" t="s">
        <v>1180</v>
      </c>
      <c r="H2" s="2" t="s">
        <v>1180</v>
      </c>
      <c r="I2" s="2" t="s">
        <v>1367</v>
      </c>
      <c r="J2" s="2" t="s">
        <v>14</v>
      </c>
      <c r="L2" s="2" t="s">
        <v>9</v>
      </c>
      <c r="M2" s="2" t="s">
        <v>78</v>
      </c>
      <c r="N2" s="2" t="s">
        <v>22</v>
      </c>
      <c r="O2" s="2" t="s">
        <v>34</v>
      </c>
      <c r="P2" s="2" t="s">
        <v>1023</v>
      </c>
      <c r="Q2" s="2" t="s">
        <v>1005</v>
      </c>
      <c r="R2" s="2" t="s">
        <v>1010</v>
      </c>
      <c r="S2" s="2" t="s">
        <v>956</v>
      </c>
      <c r="T2" s="42" t="s">
        <v>122</v>
      </c>
      <c r="U2" s="2">
        <v>0</v>
      </c>
      <c r="V2" s="2">
        <v>0</v>
      </c>
      <c r="W2" s="2">
        <v>0</v>
      </c>
      <c r="X2" s="2">
        <v>0</v>
      </c>
      <c r="Z2" s="2" t="s">
        <v>1101</v>
      </c>
      <c r="AA2" s="2" t="s">
        <v>1150</v>
      </c>
      <c r="AB2" s="2" t="s">
        <v>1239</v>
      </c>
      <c r="AC2" s="2" t="s">
        <v>1234</v>
      </c>
      <c r="AD2" s="2" t="s">
        <v>1235</v>
      </c>
      <c r="AE2" s="2" t="s">
        <v>1307</v>
      </c>
      <c r="AF2" s="2" t="s">
        <v>1347</v>
      </c>
    </row>
    <row r="3" spans="1:32">
      <c r="A3" s="1" t="s">
        <v>3</v>
      </c>
      <c r="B3" s="2" t="s">
        <v>1296</v>
      </c>
      <c r="C3" s="90" t="s">
        <v>57</v>
      </c>
      <c r="D3" s="1" t="s">
        <v>40</v>
      </c>
      <c r="E3" s="2" t="s">
        <v>1455</v>
      </c>
      <c r="G3" s="2" t="s">
        <v>954</v>
      </c>
      <c r="H3" s="2" t="s">
        <v>1149</v>
      </c>
      <c r="I3" s="2" t="s">
        <v>1368</v>
      </c>
      <c r="J3" s="2" t="s">
        <v>38</v>
      </c>
      <c r="L3" s="2" t="s">
        <v>8</v>
      </c>
      <c r="M3" s="2" t="s">
        <v>79</v>
      </c>
      <c r="N3" s="2" t="s">
        <v>76</v>
      </c>
      <c r="O3" s="2" t="s">
        <v>35</v>
      </c>
      <c r="P3" s="2" t="s">
        <v>1024</v>
      </c>
      <c r="Q3" s="2" t="s">
        <v>1006</v>
      </c>
      <c r="R3" s="2" t="s">
        <v>1011</v>
      </c>
      <c r="S3" s="2" t="s">
        <v>86</v>
      </c>
      <c r="T3" s="2" t="s">
        <v>123</v>
      </c>
      <c r="U3" s="2" t="s">
        <v>1183</v>
      </c>
      <c r="V3" s="2">
        <v>1</v>
      </c>
      <c r="W3" s="2">
        <v>1</v>
      </c>
      <c r="X3" s="2" t="s">
        <v>1203</v>
      </c>
      <c r="Z3" s="2" t="s">
        <v>1108</v>
      </c>
      <c r="AA3" s="2" t="s">
        <v>1358</v>
      </c>
      <c r="AB3" s="2" t="s">
        <v>1289</v>
      </c>
      <c r="AC3" s="2" t="s">
        <v>1224</v>
      </c>
      <c r="AD3" s="2" t="s">
        <v>1236</v>
      </c>
      <c r="AE3" s="2" t="s">
        <v>1306</v>
      </c>
      <c r="AF3" s="2" t="s">
        <v>1348</v>
      </c>
    </row>
    <row r="4" spans="1:32">
      <c r="C4" s="90" t="s">
        <v>58</v>
      </c>
      <c r="D4" s="1" t="s">
        <v>44</v>
      </c>
      <c r="G4" s="2" t="s">
        <v>23</v>
      </c>
      <c r="H4" s="2" t="s">
        <v>954</v>
      </c>
      <c r="I4" s="2" t="s">
        <v>1369</v>
      </c>
      <c r="J4" s="43" t="s">
        <v>42</v>
      </c>
      <c r="L4" s="2" t="s">
        <v>54</v>
      </c>
      <c r="M4" s="2" t="s">
        <v>77</v>
      </c>
      <c r="N4" s="2" t="s">
        <v>1001</v>
      </c>
      <c r="O4" s="2" t="s">
        <v>1001</v>
      </c>
      <c r="P4" s="2" t="s">
        <v>1025</v>
      </c>
      <c r="Q4" s="2" t="s">
        <v>1007</v>
      </c>
      <c r="R4" s="2" t="s">
        <v>1012</v>
      </c>
      <c r="S4" s="2" t="s">
        <v>87</v>
      </c>
      <c r="T4" s="2" t="s">
        <v>124</v>
      </c>
      <c r="U4" s="2">
        <v>1</v>
      </c>
      <c r="V4" s="2" t="s">
        <v>1184</v>
      </c>
      <c r="W4" s="2" t="s">
        <v>1184</v>
      </c>
      <c r="X4" s="2" t="s">
        <v>1204</v>
      </c>
      <c r="Z4" s="2" t="s">
        <v>1106</v>
      </c>
      <c r="AA4" s="2" t="s">
        <v>1147</v>
      </c>
      <c r="AB4" s="2" t="s">
        <v>1240</v>
      </c>
      <c r="AC4" s="2" t="s">
        <v>1226</v>
      </c>
      <c r="AE4" s="2" t="s">
        <v>1301</v>
      </c>
      <c r="AF4" s="2" t="s">
        <v>1349</v>
      </c>
    </row>
    <row r="5" spans="1:32">
      <c r="C5" s="90" t="s">
        <v>59</v>
      </c>
      <c r="D5" s="1" t="s">
        <v>42</v>
      </c>
      <c r="G5" s="2" t="s">
        <v>1362</v>
      </c>
      <c r="H5" s="2" t="s">
        <v>23</v>
      </c>
      <c r="I5" s="2" t="s">
        <v>1370</v>
      </c>
      <c r="J5" s="43" t="s">
        <v>45</v>
      </c>
      <c r="M5" s="2" t="s">
        <v>1001</v>
      </c>
      <c r="P5" s="2" t="s">
        <v>1026</v>
      </c>
      <c r="Q5" s="2" t="s">
        <v>1008</v>
      </c>
      <c r="R5" s="2" t="s">
        <v>1013</v>
      </c>
      <c r="S5" s="2" t="s">
        <v>268</v>
      </c>
      <c r="T5" s="2" t="s">
        <v>125</v>
      </c>
      <c r="U5" s="2" t="s">
        <v>1189</v>
      </c>
      <c r="V5" s="2" t="s">
        <v>1185</v>
      </c>
      <c r="W5" s="2" t="s">
        <v>1185</v>
      </c>
      <c r="X5" s="2" t="s">
        <v>1205</v>
      </c>
      <c r="Z5" s="2" t="s">
        <v>1107</v>
      </c>
      <c r="AA5" s="2" t="s">
        <v>1139</v>
      </c>
      <c r="AB5" s="2" t="s">
        <v>1242</v>
      </c>
      <c r="AC5" s="2" t="s">
        <v>1227</v>
      </c>
      <c r="AE5" s="2" t="s">
        <v>54</v>
      </c>
      <c r="AF5" s="2" t="s">
        <v>12</v>
      </c>
    </row>
    <row r="6" spans="1:32">
      <c r="C6" s="90" t="s">
        <v>60</v>
      </c>
      <c r="D6" s="1" t="s">
        <v>43</v>
      </c>
      <c r="G6" s="2" t="s">
        <v>1360</v>
      </c>
      <c r="H6" s="2" t="s">
        <v>1362</v>
      </c>
      <c r="I6" s="2" t="s">
        <v>1371</v>
      </c>
      <c r="J6" s="43" t="s">
        <v>46</v>
      </c>
      <c r="P6" s="2" t="s">
        <v>1027</v>
      </c>
      <c r="Q6" s="2" t="s">
        <v>1009</v>
      </c>
      <c r="R6" s="2" t="s">
        <v>1014</v>
      </c>
      <c r="S6" s="2" t="s">
        <v>937</v>
      </c>
      <c r="T6" s="2" t="s">
        <v>126</v>
      </c>
      <c r="U6" s="2" t="s">
        <v>1184</v>
      </c>
      <c r="V6" s="2" t="s">
        <v>1186</v>
      </c>
      <c r="W6" s="2" t="s">
        <v>1186</v>
      </c>
      <c r="X6" s="2" t="s">
        <v>1206</v>
      </c>
      <c r="Z6" s="2" t="s">
        <v>1102</v>
      </c>
      <c r="AA6" s="44" t="s">
        <v>1177</v>
      </c>
      <c r="AB6" s="2" t="s">
        <v>1241</v>
      </c>
      <c r="AC6" s="2" t="s">
        <v>1228</v>
      </c>
      <c r="AF6" s="2" t="s">
        <v>1350</v>
      </c>
    </row>
    <row r="7" spans="1:32">
      <c r="D7" s="1" t="s">
        <v>67</v>
      </c>
      <c r="G7" s="2" t="s">
        <v>1361</v>
      </c>
      <c r="H7" s="2" t="s">
        <v>1360</v>
      </c>
      <c r="I7" s="2" t="s">
        <v>1372</v>
      </c>
      <c r="J7" s="43" t="s">
        <v>50</v>
      </c>
      <c r="P7" s="2" t="s">
        <v>1028</v>
      </c>
      <c r="R7" s="2" t="s">
        <v>1015</v>
      </c>
      <c r="S7" s="2" t="s">
        <v>938</v>
      </c>
      <c r="T7" s="2" t="s">
        <v>127</v>
      </c>
      <c r="U7" s="2" t="s">
        <v>1185</v>
      </c>
      <c r="V7" s="2">
        <v>2</v>
      </c>
      <c r="W7" s="2" t="s">
        <v>1190</v>
      </c>
      <c r="X7" s="2" t="s">
        <v>1207</v>
      </c>
      <c r="Z7" s="2" t="s">
        <v>1103</v>
      </c>
      <c r="AA7" s="2" t="s">
        <v>1122</v>
      </c>
      <c r="AB7" s="2" t="s">
        <v>1288</v>
      </c>
      <c r="AC7" s="2" t="s">
        <v>1229</v>
      </c>
    </row>
    <row r="8" spans="1:32">
      <c r="D8" s="1" t="s">
        <v>75</v>
      </c>
      <c r="G8" s="2" t="s">
        <v>1363</v>
      </c>
      <c r="H8" s="2" t="s">
        <v>1361</v>
      </c>
      <c r="J8" s="43" t="s">
        <v>65</v>
      </c>
      <c r="P8" s="2" t="s">
        <v>1029</v>
      </c>
      <c r="R8" s="2" t="s">
        <v>1016</v>
      </c>
      <c r="S8" s="2" t="s">
        <v>939</v>
      </c>
      <c r="T8" s="2" t="s">
        <v>128</v>
      </c>
      <c r="U8" s="2" t="s">
        <v>1186</v>
      </c>
      <c r="V8" s="2" t="s">
        <v>1187</v>
      </c>
      <c r="W8" s="2" t="s">
        <v>1202</v>
      </c>
      <c r="X8" s="2" t="s">
        <v>1208</v>
      </c>
      <c r="Z8" s="2" t="s">
        <v>1104</v>
      </c>
      <c r="AA8" s="2" t="s">
        <v>1123</v>
      </c>
      <c r="AB8" s="2" t="s">
        <v>1287</v>
      </c>
      <c r="AC8" s="2" t="s">
        <v>1230</v>
      </c>
    </row>
    <row r="9" spans="1:32">
      <c r="G9" s="2" t="s">
        <v>31</v>
      </c>
      <c r="H9" s="2" t="s">
        <v>1363</v>
      </c>
      <c r="J9" s="43" t="s">
        <v>25</v>
      </c>
      <c r="P9" s="2" t="s">
        <v>1030</v>
      </c>
      <c r="R9" s="2" t="s">
        <v>1017</v>
      </c>
      <c r="S9" s="2" t="s">
        <v>940</v>
      </c>
      <c r="T9" s="2" t="s">
        <v>129</v>
      </c>
      <c r="U9" s="2" t="s">
        <v>1190</v>
      </c>
      <c r="V9" s="2" t="s">
        <v>1188</v>
      </c>
      <c r="X9" s="2" t="s">
        <v>1209</v>
      </c>
      <c r="Z9" s="2" t="s">
        <v>1105</v>
      </c>
      <c r="AA9" s="2" t="s">
        <v>1124</v>
      </c>
      <c r="AB9" s="2" t="s">
        <v>37</v>
      </c>
      <c r="AC9" s="2" t="s">
        <v>1231</v>
      </c>
    </row>
    <row r="10" spans="1:32">
      <c r="G10" s="2" t="s">
        <v>32</v>
      </c>
      <c r="H10" s="2" t="s">
        <v>31</v>
      </c>
      <c r="J10" s="43" t="s">
        <v>47</v>
      </c>
      <c r="P10" s="2" t="s">
        <v>1031</v>
      </c>
      <c r="R10" s="2" t="s">
        <v>1018</v>
      </c>
      <c r="S10" s="2" t="s">
        <v>941</v>
      </c>
      <c r="T10" s="2" t="s">
        <v>130</v>
      </c>
      <c r="U10" s="2">
        <v>2</v>
      </c>
      <c r="V10" s="2" t="s">
        <v>1191</v>
      </c>
      <c r="X10" s="2" t="s">
        <v>1210</v>
      </c>
      <c r="Z10" s="2" t="s">
        <v>1109</v>
      </c>
      <c r="AA10" s="2" t="s">
        <v>1125</v>
      </c>
      <c r="AB10" s="2" t="s">
        <v>54</v>
      </c>
      <c r="AC10" s="2" t="s">
        <v>1232</v>
      </c>
    </row>
    <row r="11" spans="1:32">
      <c r="G11" s="2" t="s">
        <v>33</v>
      </c>
      <c r="H11" s="2" t="s">
        <v>32</v>
      </c>
      <c r="J11" s="43" t="s">
        <v>24</v>
      </c>
      <c r="P11" s="2" t="s">
        <v>1032</v>
      </c>
      <c r="R11" s="2" t="s">
        <v>1019</v>
      </c>
      <c r="S11" s="2" t="s">
        <v>957</v>
      </c>
      <c r="T11" s="2" t="s">
        <v>131</v>
      </c>
      <c r="U11" s="2" t="s">
        <v>1187</v>
      </c>
      <c r="V11" s="2">
        <v>3</v>
      </c>
      <c r="X11" s="2" t="s">
        <v>1211</v>
      </c>
      <c r="AA11" s="2" t="s">
        <v>1126</v>
      </c>
      <c r="AC11" s="2" t="s">
        <v>1233</v>
      </c>
    </row>
    <row r="12" spans="1:32">
      <c r="G12" s="2" t="s">
        <v>1364</v>
      </c>
      <c r="H12" s="2" t="s">
        <v>33</v>
      </c>
      <c r="J12" s="43" t="s">
        <v>48</v>
      </c>
      <c r="P12" s="2" t="s">
        <v>1033</v>
      </c>
      <c r="R12" s="2" t="s">
        <v>1097</v>
      </c>
      <c r="S12" s="2" t="s">
        <v>942</v>
      </c>
      <c r="T12" s="2" t="s">
        <v>132</v>
      </c>
      <c r="U12" s="2" t="s">
        <v>1188</v>
      </c>
      <c r="V12" s="2" t="s">
        <v>1193</v>
      </c>
      <c r="X12" s="2" t="s">
        <v>1212</v>
      </c>
      <c r="AA12" s="2" t="s">
        <v>1128</v>
      </c>
      <c r="AC12" s="2" t="s">
        <v>1243</v>
      </c>
    </row>
    <row r="13" spans="1:32">
      <c r="G13" s="2" t="s">
        <v>1020</v>
      </c>
      <c r="H13" s="2" t="s">
        <v>1364</v>
      </c>
      <c r="J13" s="43" t="s">
        <v>49</v>
      </c>
      <c r="P13" s="2" t="s">
        <v>1034</v>
      </c>
      <c r="S13" s="2" t="s">
        <v>974</v>
      </c>
      <c r="T13" s="2" t="s">
        <v>133</v>
      </c>
      <c r="U13" s="2" t="s">
        <v>1191</v>
      </c>
      <c r="V13" s="2" t="s">
        <v>1194</v>
      </c>
      <c r="X13" s="2" t="s">
        <v>1213</v>
      </c>
      <c r="AA13" s="2" t="s">
        <v>1127</v>
      </c>
      <c r="AC13" s="2" t="s">
        <v>1244</v>
      </c>
    </row>
    <row r="14" spans="1:32">
      <c r="G14" s="2" t="s">
        <v>1021</v>
      </c>
      <c r="H14" s="2" t="s">
        <v>1020</v>
      </c>
      <c r="J14" s="43" t="s">
        <v>51</v>
      </c>
      <c r="P14" s="2" t="s">
        <v>1035</v>
      </c>
      <c r="S14" s="2" t="s">
        <v>943</v>
      </c>
      <c r="T14" s="2" t="s">
        <v>134</v>
      </c>
      <c r="U14" s="2" t="s">
        <v>1192</v>
      </c>
      <c r="V14" s="2" t="s">
        <v>1195</v>
      </c>
      <c r="X14" s="2" t="s">
        <v>1214</v>
      </c>
      <c r="AA14" s="2" t="s">
        <v>1129</v>
      </c>
      <c r="AC14" s="2" t="s">
        <v>37</v>
      </c>
    </row>
    <row r="15" spans="1:32">
      <c r="G15" s="2" t="s">
        <v>1359</v>
      </c>
      <c r="H15" s="2" t="s">
        <v>1021</v>
      </c>
      <c r="J15" s="43" t="s">
        <v>52</v>
      </c>
      <c r="P15" s="2" t="s">
        <v>1036</v>
      </c>
      <c r="S15" s="2" t="s">
        <v>28</v>
      </c>
      <c r="T15" s="2" t="s">
        <v>135</v>
      </c>
      <c r="U15" s="2">
        <v>3</v>
      </c>
      <c r="V15" s="2" t="s">
        <v>1202</v>
      </c>
      <c r="X15" s="2" t="s">
        <v>1215</v>
      </c>
      <c r="AA15" s="2" t="s">
        <v>1310</v>
      </c>
    </row>
    <row r="16" spans="1:32">
      <c r="G16" s="2" t="s">
        <v>1022</v>
      </c>
      <c r="H16" s="2" t="s">
        <v>1359</v>
      </c>
      <c r="J16" s="43" t="s">
        <v>61</v>
      </c>
      <c r="P16" s="2" t="s">
        <v>1037</v>
      </c>
      <c r="S16" s="2" t="s">
        <v>944</v>
      </c>
      <c r="T16" s="2" t="s">
        <v>136</v>
      </c>
      <c r="U16" s="2" t="s">
        <v>1193</v>
      </c>
      <c r="X16" s="2" t="s">
        <v>1216</v>
      </c>
      <c r="AA16" s="2" t="s">
        <v>1170</v>
      </c>
    </row>
    <row r="17" spans="8:27">
      <c r="H17" s="2" t="s">
        <v>1022</v>
      </c>
      <c r="J17" s="43" t="s">
        <v>62</v>
      </c>
      <c r="P17" s="2" t="s">
        <v>1038</v>
      </c>
      <c r="S17" s="2" t="s">
        <v>29</v>
      </c>
      <c r="T17" s="2" t="s">
        <v>137</v>
      </c>
      <c r="U17" s="2" t="s">
        <v>1194</v>
      </c>
      <c r="X17" s="2" t="s">
        <v>1217</v>
      </c>
      <c r="AA17" s="2" t="s">
        <v>1171</v>
      </c>
    </row>
    <row r="18" spans="8:27">
      <c r="J18" s="43" t="s">
        <v>63</v>
      </c>
      <c r="P18" s="2" t="s">
        <v>1039</v>
      </c>
      <c r="S18" s="2" t="s">
        <v>945</v>
      </c>
      <c r="T18" s="2" t="s">
        <v>81</v>
      </c>
      <c r="U18" s="2" t="s">
        <v>1195</v>
      </c>
      <c r="X18" s="2" t="s">
        <v>1218</v>
      </c>
      <c r="AA18" s="2" t="s">
        <v>1130</v>
      </c>
    </row>
    <row r="19" spans="8:27">
      <c r="J19" s="43" t="s">
        <v>64</v>
      </c>
      <c r="P19" s="2" t="s">
        <v>1040</v>
      </c>
      <c r="S19" s="2" t="s">
        <v>30</v>
      </c>
      <c r="T19" s="2" t="s">
        <v>82</v>
      </c>
      <c r="U19" s="2" t="s">
        <v>1196</v>
      </c>
      <c r="AA19" s="2" t="s">
        <v>1156</v>
      </c>
    </row>
    <row r="20" spans="8:27">
      <c r="J20" s="43" t="s">
        <v>74</v>
      </c>
      <c r="P20" s="2" t="s">
        <v>1041</v>
      </c>
      <c r="S20" s="2" t="s">
        <v>958</v>
      </c>
      <c r="T20" s="2" t="s">
        <v>138</v>
      </c>
      <c r="U20" s="2">
        <v>4</v>
      </c>
      <c r="AA20" s="2" t="s">
        <v>1131</v>
      </c>
    </row>
    <row r="21" spans="8:27">
      <c r="J21" s="43" t="s">
        <v>68</v>
      </c>
      <c r="P21" s="2" t="s">
        <v>992</v>
      </c>
      <c r="S21" s="2" t="s">
        <v>959</v>
      </c>
      <c r="T21" s="2" t="s">
        <v>139</v>
      </c>
      <c r="U21" s="2" t="s">
        <v>1197</v>
      </c>
      <c r="AA21" s="2" t="s">
        <v>1132</v>
      </c>
    </row>
    <row r="22" spans="8:27">
      <c r="J22" s="43" t="s">
        <v>69</v>
      </c>
      <c r="P22" s="2" t="s">
        <v>993</v>
      </c>
      <c r="S22" s="2" t="s">
        <v>26</v>
      </c>
      <c r="T22" s="2" t="s">
        <v>140</v>
      </c>
      <c r="U22" s="2" t="s">
        <v>1198</v>
      </c>
      <c r="AA22" s="2" t="s">
        <v>1133</v>
      </c>
    </row>
    <row r="23" spans="8:27">
      <c r="J23" s="43" t="s">
        <v>70</v>
      </c>
      <c r="P23" s="2" t="s">
        <v>994</v>
      </c>
      <c r="S23" s="2" t="s">
        <v>554</v>
      </c>
      <c r="T23" s="2" t="s">
        <v>141</v>
      </c>
      <c r="U23" s="2" t="s">
        <v>1199</v>
      </c>
      <c r="AA23" s="2" t="s">
        <v>1140</v>
      </c>
    </row>
    <row r="24" spans="8:27">
      <c r="J24" s="43" t="s">
        <v>71</v>
      </c>
      <c r="P24" s="2" t="s">
        <v>995</v>
      </c>
      <c r="S24" s="2" t="s">
        <v>960</v>
      </c>
      <c r="T24" s="2" t="s">
        <v>142</v>
      </c>
      <c r="U24" s="2" t="s">
        <v>1200</v>
      </c>
      <c r="AA24" s="2" t="s">
        <v>1134</v>
      </c>
    </row>
    <row r="25" spans="8:27">
      <c r="J25" s="43" t="s">
        <v>72</v>
      </c>
      <c r="P25" s="2" t="s">
        <v>996</v>
      </c>
      <c r="S25" s="2" t="s">
        <v>946</v>
      </c>
      <c r="T25" s="2" t="s">
        <v>143</v>
      </c>
      <c r="U25" s="2" t="s">
        <v>1201</v>
      </c>
      <c r="AA25" s="2" t="s">
        <v>1135</v>
      </c>
    </row>
    <row r="26" spans="8:27">
      <c r="J26" s="43" t="s">
        <v>73</v>
      </c>
      <c r="P26" s="2" t="s">
        <v>997</v>
      </c>
      <c r="S26" s="2" t="s">
        <v>947</v>
      </c>
      <c r="T26" s="2" t="s">
        <v>144</v>
      </c>
      <c r="U26" s="2" t="s">
        <v>1202</v>
      </c>
      <c r="AA26" s="2" t="s">
        <v>1136</v>
      </c>
    </row>
    <row r="27" spans="8:27">
      <c r="P27" s="2" t="s">
        <v>998</v>
      </c>
      <c r="S27" s="2" t="s">
        <v>601</v>
      </c>
      <c r="T27" s="2" t="s">
        <v>145</v>
      </c>
      <c r="AA27" s="2" t="s">
        <v>1137</v>
      </c>
    </row>
    <row r="28" spans="8:27">
      <c r="P28" s="2" t="s">
        <v>999</v>
      </c>
      <c r="S28" s="2" t="s">
        <v>948</v>
      </c>
      <c r="T28" s="2" t="s">
        <v>146</v>
      </c>
      <c r="AA28" s="2" t="s">
        <v>1159</v>
      </c>
    </row>
    <row r="29" spans="8:27">
      <c r="P29" s="2" t="s">
        <v>1042</v>
      </c>
      <c r="S29" s="2" t="s">
        <v>949</v>
      </c>
      <c r="T29" s="2" t="s">
        <v>147</v>
      </c>
      <c r="AA29" s="2" t="s">
        <v>1160</v>
      </c>
    </row>
    <row r="30" spans="8:27">
      <c r="P30" s="2" t="s">
        <v>1000</v>
      </c>
      <c r="S30" s="2" t="s">
        <v>950</v>
      </c>
      <c r="T30" s="2" t="s">
        <v>148</v>
      </c>
      <c r="AA30" s="2" t="s">
        <v>1161</v>
      </c>
    </row>
    <row r="31" spans="8:27">
      <c r="P31" s="2" t="s">
        <v>1043</v>
      </c>
      <c r="S31" s="2" t="s">
        <v>951</v>
      </c>
      <c r="T31" s="2" t="s">
        <v>149</v>
      </c>
      <c r="AA31" s="2" t="s">
        <v>1172</v>
      </c>
    </row>
    <row r="32" spans="8:27">
      <c r="P32" s="2" t="s">
        <v>1044</v>
      </c>
      <c r="S32" s="2" t="s">
        <v>952</v>
      </c>
      <c r="T32" s="2" t="s">
        <v>150</v>
      </c>
      <c r="AA32" s="2" t="s">
        <v>1173</v>
      </c>
    </row>
    <row r="33" spans="16:27">
      <c r="P33" s="2" t="s">
        <v>1045</v>
      </c>
      <c r="S33" s="2" t="s">
        <v>36</v>
      </c>
      <c r="T33" s="2" t="s">
        <v>151</v>
      </c>
      <c r="AA33" s="2" t="s">
        <v>1174</v>
      </c>
    </row>
    <row r="34" spans="16:27">
      <c r="P34" s="2" t="s">
        <v>1046</v>
      </c>
      <c r="T34" s="2" t="s">
        <v>152</v>
      </c>
      <c r="AA34" s="2" t="s">
        <v>1175</v>
      </c>
    </row>
    <row r="35" spans="16:27">
      <c r="P35" s="2" t="s">
        <v>1047</v>
      </c>
      <c r="T35" s="2" t="s">
        <v>83</v>
      </c>
      <c r="AA35" s="2" t="s">
        <v>1176</v>
      </c>
    </row>
    <row r="36" spans="16:27">
      <c r="P36" s="2" t="s">
        <v>1048</v>
      </c>
      <c r="T36" s="2" t="s">
        <v>84</v>
      </c>
    </row>
    <row r="37" spans="16:27">
      <c r="P37" s="2" t="s">
        <v>1049</v>
      </c>
      <c r="T37" s="2" t="s">
        <v>153</v>
      </c>
    </row>
    <row r="38" spans="16:27">
      <c r="P38" s="2" t="s">
        <v>1050</v>
      </c>
      <c r="T38" s="2" t="s">
        <v>154</v>
      </c>
    </row>
    <row r="39" spans="16:27">
      <c r="P39" s="2" t="s">
        <v>1051</v>
      </c>
      <c r="T39" s="2" t="s">
        <v>155</v>
      </c>
    </row>
    <row r="40" spans="16:27">
      <c r="P40" s="2" t="s">
        <v>1052</v>
      </c>
      <c r="T40" s="2" t="s">
        <v>85</v>
      </c>
    </row>
    <row r="41" spans="16:27">
      <c r="P41" s="2" t="s">
        <v>1053</v>
      </c>
      <c r="T41" s="2" t="s">
        <v>156</v>
      </c>
    </row>
    <row r="42" spans="16:27">
      <c r="P42" s="2" t="s">
        <v>1054</v>
      </c>
      <c r="T42" s="2" t="s">
        <v>157</v>
      </c>
    </row>
    <row r="43" spans="16:27">
      <c r="P43" s="2" t="s">
        <v>1055</v>
      </c>
      <c r="T43" s="2" t="s">
        <v>158</v>
      </c>
    </row>
    <row r="44" spans="16:27">
      <c r="P44" s="2" t="s">
        <v>1056</v>
      </c>
      <c r="T44" s="2" t="s">
        <v>159</v>
      </c>
    </row>
    <row r="45" spans="16:27">
      <c r="P45" s="2" t="s">
        <v>1057</v>
      </c>
      <c r="T45" s="2" t="s">
        <v>160</v>
      </c>
    </row>
    <row r="46" spans="16:27">
      <c r="P46" s="2" t="s">
        <v>1058</v>
      </c>
      <c r="T46" s="2" t="s">
        <v>161</v>
      </c>
    </row>
    <row r="47" spans="16:27">
      <c r="P47" s="2" t="s">
        <v>1059</v>
      </c>
      <c r="T47" s="2" t="s">
        <v>162</v>
      </c>
    </row>
    <row r="48" spans="16:27">
      <c r="P48" s="2" t="s">
        <v>1060</v>
      </c>
      <c r="T48" s="2" t="s">
        <v>163</v>
      </c>
    </row>
    <row r="49" spans="16:20">
      <c r="P49" s="2" t="s">
        <v>1061</v>
      </c>
      <c r="T49" s="2" t="s">
        <v>164</v>
      </c>
    </row>
    <row r="50" spans="16:20">
      <c r="P50" s="2" t="s">
        <v>1062</v>
      </c>
      <c r="T50" s="2" t="s">
        <v>165</v>
      </c>
    </row>
    <row r="51" spans="16:20">
      <c r="P51" s="2" t="s">
        <v>982</v>
      </c>
      <c r="T51" s="2" t="s">
        <v>166</v>
      </c>
    </row>
    <row r="52" spans="16:20">
      <c r="P52" s="2" t="s">
        <v>983</v>
      </c>
      <c r="T52" s="2" t="s">
        <v>167</v>
      </c>
    </row>
    <row r="53" spans="16:20">
      <c r="P53" s="2" t="s">
        <v>1063</v>
      </c>
      <c r="T53" s="2" t="s">
        <v>168</v>
      </c>
    </row>
    <row r="54" spans="16:20">
      <c r="P54" s="2" t="s">
        <v>1064</v>
      </c>
      <c r="T54" s="2" t="s">
        <v>169</v>
      </c>
    </row>
    <row r="55" spans="16:20">
      <c r="P55" s="2" t="s">
        <v>1065</v>
      </c>
      <c r="T55" s="2" t="s">
        <v>170</v>
      </c>
    </row>
    <row r="56" spans="16:20">
      <c r="P56" s="2" t="s">
        <v>1066</v>
      </c>
      <c r="T56" s="2" t="s">
        <v>171</v>
      </c>
    </row>
    <row r="57" spans="16:20">
      <c r="P57" s="2" t="s">
        <v>1067</v>
      </c>
      <c r="T57" s="2" t="s">
        <v>172</v>
      </c>
    </row>
    <row r="58" spans="16:20">
      <c r="P58" s="2" t="s">
        <v>1068</v>
      </c>
      <c r="T58" s="2" t="s">
        <v>173</v>
      </c>
    </row>
    <row r="59" spans="16:20">
      <c r="P59" s="2" t="s">
        <v>1069</v>
      </c>
      <c r="T59" s="2" t="s">
        <v>174</v>
      </c>
    </row>
    <row r="60" spans="16:20">
      <c r="P60" s="2" t="s">
        <v>1070</v>
      </c>
      <c r="T60" s="2" t="s">
        <v>175</v>
      </c>
    </row>
    <row r="61" spans="16:20">
      <c r="P61" s="2" t="s">
        <v>1071</v>
      </c>
      <c r="T61" s="2" t="s">
        <v>176</v>
      </c>
    </row>
    <row r="62" spans="16:20">
      <c r="P62" s="2" t="s">
        <v>1072</v>
      </c>
      <c r="T62" s="2" t="s">
        <v>177</v>
      </c>
    </row>
    <row r="63" spans="16:20">
      <c r="P63" s="2" t="s">
        <v>1073</v>
      </c>
      <c r="T63" s="2" t="s">
        <v>178</v>
      </c>
    </row>
    <row r="64" spans="16:20">
      <c r="P64" s="2" t="s">
        <v>1074</v>
      </c>
      <c r="T64" s="2" t="s">
        <v>179</v>
      </c>
    </row>
    <row r="65" spans="16:20">
      <c r="P65" s="2" t="s">
        <v>1075</v>
      </c>
      <c r="T65" s="2" t="s">
        <v>180</v>
      </c>
    </row>
    <row r="66" spans="16:20">
      <c r="P66" s="2" t="s">
        <v>1076</v>
      </c>
      <c r="T66" s="2" t="s">
        <v>181</v>
      </c>
    </row>
    <row r="67" spans="16:20">
      <c r="P67" s="2" t="s">
        <v>1077</v>
      </c>
      <c r="T67" s="2" t="s">
        <v>182</v>
      </c>
    </row>
    <row r="68" spans="16:20">
      <c r="P68" s="2" t="s">
        <v>1078</v>
      </c>
      <c r="T68" s="2" t="s">
        <v>183</v>
      </c>
    </row>
    <row r="69" spans="16:20">
      <c r="P69" s="2" t="s">
        <v>1079</v>
      </c>
      <c r="T69" s="2" t="s">
        <v>184</v>
      </c>
    </row>
    <row r="70" spans="16:20">
      <c r="P70" s="2" t="s">
        <v>1080</v>
      </c>
      <c r="T70" s="2" t="s">
        <v>185</v>
      </c>
    </row>
    <row r="71" spans="16:20">
      <c r="P71" s="2" t="s">
        <v>1081</v>
      </c>
      <c r="T71" s="2" t="s">
        <v>186</v>
      </c>
    </row>
    <row r="72" spans="16:20">
      <c r="P72" s="2" t="s">
        <v>1082</v>
      </c>
      <c r="T72" s="2" t="s">
        <v>187</v>
      </c>
    </row>
    <row r="73" spans="16:20">
      <c r="P73" s="2" t="s">
        <v>1083</v>
      </c>
      <c r="T73" s="2" t="s">
        <v>188</v>
      </c>
    </row>
    <row r="74" spans="16:20">
      <c r="P74" s="2" t="s">
        <v>1084</v>
      </c>
      <c r="T74" s="2" t="s">
        <v>189</v>
      </c>
    </row>
    <row r="75" spans="16:20">
      <c r="P75" s="2" t="s">
        <v>1085</v>
      </c>
      <c r="T75" s="2" t="s">
        <v>190</v>
      </c>
    </row>
    <row r="76" spans="16:20">
      <c r="P76" s="2" t="s">
        <v>1086</v>
      </c>
      <c r="T76" s="2" t="s">
        <v>191</v>
      </c>
    </row>
    <row r="77" spans="16:20">
      <c r="P77" s="2" t="s">
        <v>1087</v>
      </c>
      <c r="T77" s="2" t="s">
        <v>192</v>
      </c>
    </row>
    <row r="78" spans="16:20">
      <c r="P78" s="2" t="s">
        <v>1088</v>
      </c>
      <c r="T78" s="2" t="s">
        <v>193</v>
      </c>
    </row>
    <row r="79" spans="16:20">
      <c r="P79" s="2" t="s">
        <v>1089</v>
      </c>
      <c r="T79" s="2" t="s">
        <v>194</v>
      </c>
    </row>
    <row r="80" spans="16:20">
      <c r="P80" s="2" t="s">
        <v>1090</v>
      </c>
      <c r="T80" s="2" t="s">
        <v>195</v>
      </c>
    </row>
    <row r="81" spans="16:20">
      <c r="P81" s="2" t="s">
        <v>1091</v>
      </c>
      <c r="T81" s="2" t="s">
        <v>196</v>
      </c>
    </row>
    <row r="82" spans="16:20">
      <c r="P82" s="2" t="s">
        <v>1092</v>
      </c>
      <c r="T82" s="2" t="s">
        <v>197</v>
      </c>
    </row>
    <row r="83" spans="16:20">
      <c r="P83" s="2" t="s">
        <v>1093</v>
      </c>
      <c r="T83" s="2" t="s">
        <v>198</v>
      </c>
    </row>
    <row r="84" spans="16:20">
      <c r="P84" s="2" t="s">
        <v>984</v>
      </c>
      <c r="T84" s="2" t="s">
        <v>199</v>
      </c>
    </row>
    <row r="85" spans="16:20">
      <c r="P85" s="2" t="s">
        <v>985</v>
      </c>
      <c r="T85" s="2" t="s">
        <v>200</v>
      </c>
    </row>
    <row r="86" spans="16:20">
      <c r="P86" s="2" t="s">
        <v>986</v>
      </c>
      <c r="T86" s="2" t="s">
        <v>201</v>
      </c>
    </row>
    <row r="87" spans="16:20">
      <c r="P87" s="2" t="s">
        <v>987</v>
      </c>
      <c r="T87" s="2" t="s">
        <v>202</v>
      </c>
    </row>
    <row r="88" spans="16:20">
      <c r="P88" s="2" t="s">
        <v>988</v>
      </c>
      <c r="T88" s="2" t="s">
        <v>203</v>
      </c>
    </row>
    <row r="89" spans="16:20">
      <c r="P89" s="2" t="s">
        <v>976</v>
      </c>
      <c r="T89" s="2" t="s">
        <v>204</v>
      </c>
    </row>
    <row r="90" spans="16:20">
      <c r="P90" s="2" t="s">
        <v>989</v>
      </c>
      <c r="T90" s="2" t="s">
        <v>205</v>
      </c>
    </row>
    <row r="91" spans="16:20">
      <c r="P91" s="2" t="s">
        <v>990</v>
      </c>
      <c r="T91" s="2" t="s">
        <v>206</v>
      </c>
    </row>
    <row r="92" spans="16:20">
      <c r="P92" s="2" t="s">
        <v>977</v>
      </c>
      <c r="T92" s="2" t="s">
        <v>207</v>
      </c>
    </row>
    <row r="93" spans="16:20">
      <c r="P93" s="2" t="s">
        <v>1094</v>
      </c>
      <c r="T93" s="2" t="s">
        <v>208</v>
      </c>
    </row>
    <row r="94" spans="16:20">
      <c r="P94" s="2" t="s">
        <v>978</v>
      </c>
      <c r="T94" s="2" t="s">
        <v>209</v>
      </c>
    </row>
    <row r="95" spans="16:20">
      <c r="P95" s="2" t="s">
        <v>979</v>
      </c>
      <c r="T95" s="2" t="s">
        <v>210</v>
      </c>
    </row>
    <row r="96" spans="16:20">
      <c r="P96" s="2" t="s">
        <v>980</v>
      </c>
      <c r="T96" s="2" t="s">
        <v>211</v>
      </c>
    </row>
    <row r="97" spans="16:20">
      <c r="P97" s="2" t="s">
        <v>981</v>
      </c>
      <c r="T97" s="2" t="s">
        <v>212</v>
      </c>
    </row>
    <row r="98" spans="16:20">
      <c r="P98" s="2" t="s">
        <v>991</v>
      </c>
      <c r="T98" s="2" t="s">
        <v>213</v>
      </c>
    </row>
    <row r="99" spans="16:20">
      <c r="P99" s="2" t="s">
        <v>1095</v>
      </c>
      <c r="T99" s="2" t="s">
        <v>214</v>
      </c>
    </row>
    <row r="100" spans="16:20">
      <c r="P100" s="2" t="s">
        <v>1096</v>
      </c>
      <c r="T100" s="2" t="s">
        <v>215</v>
      </c>
    </row>
    <row r="101" spans="16:20">
      <c r="T101" s="2" t="s">
        <v>216</v>
      </c>
    </row>
    <row r="102" spans="16:20">
      <c r="T102" s="2" t="s">
        <v>217</v>
      </c>
    </row>
    <row r="103" spans="16:20">
      <c r="T103" s="2" t="s">
        <v>218</v>
      </c>
    </row>
    <row r="104" spans="16:20">
      <c r="T104" s="2" t="s">
        <v>219</v>
      </c>
    </row>
    <row r="105" spans="16:20">
      <c r="T105" s="2" t="s">
        <v>220</v>
      </c>
    </row>
    <row r="106" spans="16:20">
      <c r="T106" s="2" t="s">
        <v>221</v>
      </c>
    </row>
    <row r="107" spans="16:20">
      <c r="T107" s="42" t="s">
        <v>222</v>
      </c>
    </row>
    <row r="108" spans="16:20">
      <c r="T108" s="2" t="s">
        <v>223</v>
      </c>
    </row>
    <row r="109" spans="16:20">
      <c r="T109" s="2" t="s">
        <v>224</v>
      </c>
    </row>
    <row r="110" spans="16:20">
      <c r="T110" s="2" t="s">
        <v>225</v>
      </c>
    </row>
    <row r="111" spans="16:20">
      <c r="T111" s="2" t="s">
        <v>226</v>
      </c>
    </row>
    <row r="112" spans="16:20">
      <c r="T112" s="2" t="s">
        <v>227</v>
      </c>
    </row>
    <row r="113" spans="20:20">
      <c r="T113" s="2" t="s">
        <v>228</v>
      </c>
    </row>
    <row r="114" spans="20:20">
      <c r="T114" s="2" t="s">
        <v>229</v>
      </c>
    </row>
    <row r="115" spans="20:20">
      <c r="T115" s="2" t="s">
        <v>230</v>
      </c>
    </row>
    <row r="116" spans="20:20">
      <c r="T116" s="2" t="s">
        <v>231</v>
      </c>
    </row>
    <row r="117" spans="20:20">
      <c r="T117" s="42" t="s">
        <v>232</v>
      </c>
    </row>
    <row r="118" spans="20:20">
      <c r="T118" s="2" t="s">
        <v>233</v>
      </c>
    </row>
    <row r="119" spans="20:20">
      <c r="T119" s="2" t="s">
        <v>234</v>
      </c>
    </row>
    <row r="120" spans="20:20">
      <c r="T120" s="2" t="s">
        <v>235</v>
      </c>
    </row>
    <row r="121" spans="20:20">
      <c r="T121" s="2" t="s">
        <v>236</v>
      </c>
    </row>
    <row r="122" spans="20:20">
      <c r="T122" s="2" t="s">
        <v>237</v>
      </c>
    </row>
    <row r="123" spans="20:20">
      <c r="T123" s="2" t="s">
        <v>238</v>
      </c>
    </row>
    <row r="124" spans="20:20">
      <c r="T124" s="2" t="s">
        <v>239</v>
      </c>
    </row>
    <row r="125" spans="20:20">
      <c r="T125" s="2" t="s">
        <v>240</v>
      </c>
    </row>
    <row r="126" spans="20:20">
      <c r="T126" s="2" t="s">
        <v>241</v>
      </c>
    </row>
    <row r="127" spans="20:20">
      <c r="T127" s="2" t="s">
        <v>242</v>
      </c>
    </row>
    <row r="128" spans="20:20">
      <c r="T128" s="2" t="s">
        <v>243</v>
      </c>
    </row>
    <row r="129" spans="20:20">
      <c r="T129" s="2" t="s">
        <v>244</v>
      </c>
    </row>
    <row r="130" spans="20:20">
      <c r="T130" s="2" t="s">
        <v>245</v>
      </c>
    </row>
    <row r="131" spans="20:20">
      <c r="T131" s="2" t="s">
        <v>246</v>
      </c>
    </row>
    <row r="132" spans="20:20">
      <c r="T132" s="2" t="s">
        <v>247</v>
      </c>
    </row>
    <row r="133" spans="20:20">
      <c r="T133" s="2" t="s">
        <v>248</v>
      </c>
    </row>
    <row r="134" spans="20:20">
      <c r="T134" s="2" t="s">
        <v>249</v>
      </c>
    </row>
    <row r="135" spans="20:20">
      <c r="T135" s="2" t="s">
        <v>250</v>
      </c>
    </row>
    <row r="136" spans="20:20">
      <c r="T136" s="2" t="s">
        <v>251</v>
      </c>
    </row>
    <row r="137" spans="20:20">
      <c r="T137" s="2" t="s">
        <v>252</v>
      </c>
    </row>
    <row r="138" spans="20:20">
      <c r="T138" s="2" t="s">
        <v>253</v>
      </c>
    </row>
    <row r="139" spans="20:20">
      <c r="T139" s="2" t="s">
        <v>254</v>
      </c>
    </row>
    <row r="140" spans="20:20">
      <c r="T140" s="2" t="s">
        <v>255</v>
      </c>
    </row>
    <row r="141" spans="20:20">
      <c r="T141" s="2" t="s">
        <v>256</v>
      </c>
    </row>
    <row r="142" spans="20:20">
      <c r="T142" s="2" t="s">
        <v>257</v>
      </c>
    </row>
    <row r="143" spans="20:20">
      <c r="T143" s="2" t="s">
        <v>258</v>
      </c>
    </row>
    <row r="144" spans="20:20">
      <c r="T144" s="2" t="s">
        <v>259</v>
      </c>
    </row>
    <row r="145" spans="20:20">
      <c r="T145" s="2" t="s">
        <v>260</v>
      </c>
    </row>
    <row r="146" spans="20:20">
      <c r="T146" s="2" t="s">
        <v>261</v>
      </c>
    </row>
    <row r="147" spans="20:20">
      <c r="T147" s="2" t="s">
        <v>262</v>
      </c>
    </row>
    <row r="148" spans="20:20">
      <c r="T148" s="2" t="s">
        <v>263</v>
      </c>
    </row>
    <row r="149" spans="20:20">
      <c r="T149" s="2" t="s">
        <v>264</v>
      </c>
    </row>
    <row r="150" spans="20:20">
      <c r="T150" s="2" t="s">
        <v>265</v>
      </c>
    </row>
    <row r="151" spans="20:20">
      <c r="T151" s="2" t="s">
        <v>266</v>
      </c>
    </row>
    <row r="152" spans="20:20">
      <c r="T152" s="2" t="s">
        <v>267</v>
      </c>
    </row>
    <row r="153" spans="20:20">
      <c r="T153" s="42" t="s">
        <v>268</v>
      </c>
    </row>
    <row r="154" spans="20:20">
      <c r="T154" s="2" t="s">
        <v>275</v>
      </c>
    </row>
    <row r="155" spans="20:20">
      <c r="T155" s="2" t="s">
        <v>269</v>
      </c>
    </row>
    <row r="156" spans="20:20">
      <c r="T156" s="2" t="s">
        <v>270</v>
      </c>
    </row>
    <row r="157" spans="20:20">
      <c r="T157" s="2" t="s">
        <v>271</v>
      </c>
    </row>
    <row r="158" spans="20:20">
      <c r="T158" s="2" t="s">
        <v>272</v>
      </c>
    </row>
    <row r="159" spans="20:20">
      <c r="T159" s="2" t="s">
        <v>273</v>
      </c>
    </row>
    <row r="160" spans="20:20">
      <c r="T160" s="2" t="s">
        <v>274</v>
      </c>
    </row>
    <row r="161" spans="20:20">
      <c r="T161" s="42" t="s">
        <v>88</v>
      </c>
    </row>
    <row r="162" spans="20:20">
      <c r="T162" s="2" t="s">
        <v>284</v>
      </c>
    </row>
    <row r="163" spans="20:20">
      <c r="T163" s="2" t="s">
        <v>283</v>
      </c>
    </row>
    <row r="164" spans="20:20">
      <c r="T164" s="2" t="s">
        <v>279</v>
      </c>
    </row>
    <row r="165" spans="20:20">
      <c r="T165" s="2" t="s">
        <v>276</v>
      </c>
    </row>
    <row r="166" spans="20:20">
      <c r="T166" s="2" t="s">
        <v>277</v>
      </c>
    </row>
    <row r="167" spans="20:20">
      <c r="T167" s="2" t="s">
        <v>278</v>
      </c>
    </row>
    <row r="168" spans="20:20">
      <c r="T168" s="2" t="s">
        <v>280</v>
      </c>
    </row>
    <row r="169" spans="20:20">
      <c r="T169" s="2" t="s">
        <v>281</v>
      </c>
    </row>
    <row r="170" spans="20:20">
      <c r="T170" s="2" t="s">
        <v>282</v>
      </c>
    </row>
    <row r="171" spans="20:20">
      <c r="T171" s="42" t="s">
        <v>89</v>
      </c>
    </row>
    <row r="172" spans="20:20">
      <c r="T172" s="2" t="s">
        <v>293</v>
      </c>
    </row>
    <row r="173" spans="20:20">
      <c r="T173" s="2" t="s">
        <v>301</v>
      </c>
    </row>
    <row r="174" spans="20:20">
      <c r="T174" s="2" t="s">
        <v>302</v>
      </c>
    </row>
    <row r="175" spans="20:20">
      <c r="T175" s="2" t="s">
        <v>303</v>
      </c>
    </row>
    <row r="176" spans="20:20">
      <c r="T176" s="2" t="s">
        <v>292</v>
      </c>
    </row>
    <row r="177" spans="20:20">
      <c r="T177" s="2" t="s">
        <v>285</v>
      </c>
    </row>
    <row r="178" spans="20:20">
      <c r="T178" s="2" t="s">
        <v>286</v>
      </c>
    </row>
    <row r="179" spans="20:20">
      <c r="T179" s="2" t="s">
        <v>287</v>
      </c>
    </row>
    <row r="180" spans="20:20">
      <c r="T180" s="2" t="s">
        <v>288</v>
      </c>
    </row>
    <row r="181" spans="20:20">
      <c r="T181" s="2" t="s">
        <v>289</v>
      </c>
    </row>
    <row r="182" spans="20:20">
      <c r="T182" s="2" t="s">
        <v>290</v>
      </c>
    </row>
    <row r="183" spans="20:20">
      <c r="T183" s="2" t="s">
        <v>291</v>
      </c>
    </row>
    <row r="184" spans="20:20">
      <c r="T184" s="2" t="s">
        <v>294</v>
      </c>
    </row>
    <row r="185" spans="20:20">
      <c r="T185" s="2" t="s">
        <v>295</v>
      </c>
    </row>
    <row r="186" spans="20:20">
      <c r="T186" s="2" t="s">
        <v>296</v>
      </c>
    </row>
    <row r="187" spans="20:20">
      <c r="T187" s="2" t="s">
        <v>297</v>
      </c>
    </row>
    <row r="188" spans="20:20">
      <c r="T188" s="2" t="s">
        <v>298</v>
      </c>
    </row>
    <row r="189" spans="20:20">
      <c r="T189" s="2" t="s">
        <v>299</v>
      </c>
    </row>
    <row r="190" spans="20:20">
      <c r="T190" s="2" t="s">
        <v>300</v>
      </c>
    </row>
    <row r="191" spans="20:20">
      <c r="T191" s="2" t="s">
        <v>304</v>
      </c>
    </row>
    <row r="192" spans="20:20">
      <c r="T192" s="2" t="s">
        <v>305</v>
      </c>
    </row>
    <row r="193" spans="20:20">
      <c r="T193" s="2" t="s">
        <v>969</v>
      </c>
    </row>
    <row r="194" spans="20:20">
      <c r="T194" s="2" t="s">
        <v>306</v>
      </c>
    </row>
    <row r="195" spans="20:20">
      <c r="T195" s="2" t="s">
        <v>307</v>
      </c>
    </row>
    <row r="196" spans="20:20">
      <c r="T196" s="2" t="s">
        <v>308</v>
      </c>
    </row>
    <row r="197" spans="20:20">
      <c r="T197" s="2" t="s">
        <v>309</v>
      </c>
    </row>
    <row r="198" spans="20:20">
      <c r="T198" s="2" t="s">
        <v>310</v>
      </c>
    </row>
    <row r="199" spans="20:20">
      <c r="T199" s="2" t="s">
        <v>311</v>
      </c>
    </row>
    <row r="200" spans="20:20">
      <c r="T200" s="2" t="s">
        <v>312</v>
      </c>
    </row>
    <row r="201" spans="20:20">
      <c r="T201" s="42" t="s">
        <v>90</v>
      </c>
    </row>
    <row r="202" spans="20:20">
      <c r="T202" s="2" t="s">
        <v>313</v>
      </c>
    </row>
    <row r="203" spans="20:20">
      <c r="T203" s="2" t="s">
        <v>314</v>
      </c>
    </row>
    <row r="204" spans="20:20">
      <c r="T204" s="2" t="s">
        <v>315</v>
      </c>
    </row>
    <row r="205" spans="20:20">
      <c r="T205" s="2" t="s">
        <v>316</v>
      </c>
    </row>
    <row r="206" spans="20:20">
      <c r="T206" s="42" t="s">
        <v>91</v>
      </c>
    </row>
    <row r="207" spans="20:20">
      <c r="T207" s="2" t="s">
        <v>319</v>
      </c>
    </row>
    <row r="208" spans="20:20">
      <c r="T208" s="2" t="s">
        <v>318</v>
      </c>
    </row>
    <row r="209" spans="20:20">
      <c r="T209" s="2" t="s">
        <v>317</v>
      </c>
    </row>
    <row r="210" spans="20:20">
      <c r="T210" s="2" t="s">
        <v>320</v>
      </c>
    </row>
    <row r="211" spans="20:20">
      <c r="T211" s="42" t="s">
        <v>92</v>
      </c>
    </row>
    <row r="212" spans="20:20">
      <c r="T212" s="2" t="s">
        <v>340</v>
      </c>
    </row>
    <row r="213" spans="20:20">
      <c r="T213" s="2" t="s">
        <v>322</v>
      </c>
    </row>
    <row r="214" spans="20:20">
      <c r="T214" s="2" t="s">
        <v>93</v>
      </c>
    </row>
    <row r="215" spans="20:20">
      <c r="T215" s="2" t="s">
        <v>341</v>
      </c>
    </row>
    <row r="216" spans="20:20">
      <c r="T216" s="2" t="s">
        <v>330</v>
      </c>
    </row>
    <row r="217" spans="20:20">
      <c r="T217" s="2" t="s">
        <v>326</v>
      </c>
    </row>
    <row r="218" spans="20:20">
      <c r="T218" s="2" t="s">
        <v>329</v>
      </c>
    </row>
    <row r="219" spans="20:20">
      <c r="T219" s="2" t="s">
        <v>328</v>
      </c>
    </row>
    <row r="220" spans="20:20">
      <c r="T220" s="2" t="s">
        <v>327</v>
      </c>
    </row>
    <row r="221" spans="20:20">
      <c r="T221" s="2" t="s">
        <v>323</v>
      </c>
    </row>
    <row r="222" spans="20:20">
      <c r="T222" s="2" t="s">
        <v>321</v>
      </c>
    </row>
    <row r="223" spans="20:20">
      <c r="T223" s="2" t="s">
        <v>324</v>
      </c>
    </row>
    <row r="224" spans="20:20">
      <c r="T224" s="2" t="s">
        <v>325</v>
      </c>
    </row>
    <row r="225" spans="20:20">
      <c r="T225" s="2" t="s">
        <v>331</v>
      </c>
    </row>
    <row r="226" spans="20:20">
      <c r="T226" s="2" t="s">
        <v>332</v>
      </c>
    </row>
    <row r="227" spans="20:20">
      <c r="T227" s="2" t="s">
        <v>333</v>
      </c>
    </row>
    <row r="228" spans="20:20">
      <c r="T228" s="2" t="s">
        <v>334</v>
      </c>
    </row>
    <row r="229" spans="20:20">
      <c r="T229" s="2" t="s">
        <v>335</v>
      </c>
    </row>
    <row r="230" spans="20:20">
      <c r="T230" s="2" t="s">
        <v>336</v>
      </c>
    </row>
    <row r="231" spans="20:20">
      <c r="T231" s="2" t="s">
        <v>337</v>
      </c>
    </row>
    <row r="232" spans="20:20">
      <c r="T232" s="2" t="s">
        <v>338</v>
      </c>
    </row>
    <row r="233" spans="20:20">
      <c r="T233" s="2" t="s">
        <v>339</v>
      </c>
    </row>
    <row r="234" spans="20:20">
      <c r="T234" s="2" t="s">
        <v>342</v>
      </c>
    </row>
    <row r="235" spans="20:20">
      <c r="T235" s="2" t="s">
        <v>343</v>
      </c>
    </row>
    <row r="236" spans="20:20">
      <c r="T236" s="2" t="s">
        <v>344</v>
      </c>
    </row>
    <row r="237" spans="20:20">
      <c r="T237" s="2" t="s">
        <v>345</v>
      </c>
    </row>
    <row r="238" spans="20:20">
      <c r="T238" s="2" t="s">
        <v>346</v>
      </c>
    </row>
    <row r="239" spans="20:20">
      <c r="T239" s="2" t="s">
        <v>347</v>
      </c>
    </row>
    <row r="240" spans="20:20">
      <c r="T240" s="2" t="s">
        <v>348</v>
      </c>
    </row>
    <row r="241" spans="20:20">
      <c r="T241" s="2" t="s">
        <v>961</v>
      </c>
    </row>
    <row r="242" spans="20:20">
      <c r="T242" s="2" t="s">
        <v>962</v>
      </c>
    </row>
    <row r="243" spans="20:20">
      <c r="T243" s="2" t="s">
        <v>349</v>
      </c>
    </row>
    <row r="244" spans="20:20">
      <c r="T244" s="2" t="s">
        <v>350</v>
      </c>
    </row>
    <row r="245" spans="20:20">
      <c r="T245" s="2" t="s">
        <v>351</v>
      </c>
    </row>
    <row r="246" spans="20:20">
      <c r="T246" s="2" t="s">
        <v>352</v>
      </c>
    </row>
    <row r="247" spans="20:20">
      <c r="T247" s="42" t="s">
        <v>353</v>
      </c>
    </row>
    <row r="248" spans="20:20">
      <c r="T248" s="2" t="s">
        <v>355</v>
      </c>
    </row>
    <row r="249" spans="20:20">
      <c r="T249" s="2" t="s">
        <v>354</v>
      </c>
    </row>
    <row r="250" spans="20:20">
      <c r="T250" s="2" t="s">
        <v>356</v>
      </c>
    </row>
    <row r="251" spans="20:20">
      <c r="T251" s="2" t="s">
        <v>357</v>
      </c>
    </row>
    <row r="252" spans="20:20">
      <c r="T252" s="2" t="s">
        <v>358</v>
      </c>
    </row>
    <row r="253" spans="20:20">
      <c r="T253" s="2" t="s">
        <v>359</v>
      </c>
    </row>
    <row r="254" spans="20:20">
      <c r="T254" s="2" t="s">
        <v>362</v>
      </c>
    </row>
    <row r="255" spans="20:20">
      <c r="T255" s="2" t="s">
        <v>370</v>
      </c>
    </row>
    <row r="256" spans="20:20">
      <c r="T256" s="2" t="s">
        <v>369</v>
      </c>
    </row>
    <row r="257" spans="20:20">
      <c r="T257" s="2" t="s">
        <v>360</v>
      </c>
    </row>
    <row r="258" spans="20:20">
      <c r="T258" s="2" t="s">
        <v>361</v>
      </c>
    </row>
    <row r="259" spans="20:20">
      <c r="T259" s="2" t="s">
        <v>363</v>
      </c>
    </row>
    <row r="260" spans="20:20">
      <c r="T260" s="2" t="s">
        <v>364</v>
      </c>
    </row>
    <row r="261" spans="20:20">
      <c r="T261" s="2" t="s">
        <v>365</v>
      </c>
    </row>
    <row r="262" spans="20:20">
      <c r="T262" s="2" t="s">
        <v>366</v>
      </c>
    </row>
    <row r="263" spans="20:20">
      <c r="T263" s="2" t="s">
        <v>367</v>
      </c>
    </row>
    <row r="264" spans="20:20">
      <c r="T264" s="2" t="s">
        <v>368</v>
      </c>
    </row>
    <row r="265" spans="20:20">
      <c r="T265" s="2" t="s">
        <v>371</v>
      </c>
    </row>
    <row r="266" spans="20:20">
      <c r="T266" s="2" t="s">
        <v>372</v>
      </c>
    </row>
    <row r="267" spans="20:20">
      <c r="T267" s="2" t="s">
        <v>373</v>
      </c>
    </row>
    <row r="268" spans="20:20">
      <c r="T268" s="2" t="s">
        <v>374</v>
      </c>
    </row>
    <row r="269" spans="20:20">
      <c r="T269" s="2" t="s">
        <v>375</v>
      </c>
    </row>
    <row r="270" spans="20:20">
      <c r="T270" s="2" t="s">
        <v>376</v>
      </c>
    </row>
    <row r="271" spans="20:20">
      <c r="T271" s="42" t="s">
        <v>94</v>
      </c>
    </row>
    <row r="272" spans="20:20">
      <c r="T272" s="2" t="s">
        <v>385</v>
      </c>
    </row>
    <row r="273" spans="20:20">
      <c r="T273" s="2" t="s">
        <v>386</v>
      </c>
    </row>
    <row r="274" spans="20:20">
      <c r="T274" s="2" t="s">
        <v>389</v>
      </c>
    </row>
    <row r="275" spans="20:20">
      <c r="T275" s="2" t="s">
        <v>387</v>
      </c>
    </row>
    <row r="276" spans="20:20">
      <c r="T276" s="2" t="s">
        <v>388</v>
      </c>
    </row>
    <row r="277" spans="20:20">
      <c r="T277" s="2" t="s">
        <v>390</v>
      </c>
    </row>
    <row r="278" spans="20:20">
      <c r="T278" s="2" t="s">
        <v>391</v>
      </c>
    </row>
    <row r="279" spans="20:20">
      <c r="T279" s="2" t="s">
        <v>392</v>
      </c>
    </row>
    <row r="280" spans="20:20">
      <c r="T280" s="2" t="s">
        <v>393</v>
      </c>
    </row>
    <row r="281" spans="20:20">
      <c r="T281" s="2" t="s">
        <v>394</v>
      </c>
    </row>
    <row r="282" spans="20:20">
      <c r="T282" s="2" t="s">
        <v>395</v>
      </c>
    </row>
    <row r="283" spans="20:20">
      <c r="T283" s="2" t="s">
        <v>396</v>
      </c>
    </row>
    <row r="284" spans="20:20">
      <c r="T284" s="2" t="s">
        <v>377</v>
      </c>
    </row>
    <row r="285" spans="20:20">
      <c r="T285" s="2" t="s">
        <v>378</v>
      </c>
    </row>
    <row r="286" spans="20:20">
      <c r="T286" s="2" t="s">
        <v>379</v>
      </c>
    </row>
    <row r="287" spans="20:20">
      <c r="T287" s="2" t="s">
        <v>380</v>
      </c>
    </row>
    <row r="288" spans="20:20">
      <c r="T288" s="2" t="s">
        <v>381</v>
      </c>
    </row>
    <row r="289" spans="20:20">
      <c r="T289" s="2" t="s">
        <v>382</v>
      </c>
    </row>
    <row r="290" spans="20:20">
      <c r="T290" s="2" t="s">
        <v>383</v>
      </c>
    </row>
    <row r="291" spans="20:20">
      <c r="T291" s="2" t="s">
        <v>384</v>
      </c>
    </row>
    <row r="292" spans="20:20">
      <c r="T292" s="2" t="s">
        <v>397</v>
      </c>
    </row>
    <row r="293" spans="20:20">
      <c r="T293" s="2" t="s">
        <v>398</v>
      </c>
    </row>
    <row r="294" spans="20:20">
      <c r="T294" s="2" t="s">
        <v>399</v>
      </c>
    </row>
    <row r="295" spans="20:20">
      <c r="T295" s="2" t="s">
        <v>400</v>
      </c>
    </row>
    <row r="296" spans="20:20">
      <c r="T296" s="2" t="s">
        <v>401</v>
      </c>
    </row>
    <row r="297" spans="20:20">
      <c r="T297" s="42" t="s">
        <v>974</v>
      </c>
    </row>
    <row r="298" spans="20:20">
      <c r="T298" s="2" t="s">
        <v>402</v>
      </c>
    </row>
    <row r="299" spans="20:20">
      <c r="T299" s="2" t="s">
        <v>403</v>
      </c>
    </row>
    <row r="300" spans="20:20">
      <c r="T300" s="2" t="s">
        <v>404</v>
      </c>
    </row>
    <row r="301" spans="20:20">
      <c r="T301" s="2" t="s">
        <v>405</v>
      </c>
    </row>
    <row r="302" spans="20:20">
      <c r="T302" s="42" t="s">
        <v>95</v>
      </c>
    </row>
    <row r="303" spans="20:20">
      <c r="T303" s="2" t="s">
        <v>406</v>
      </c>
    </row>
    <row r="304" spans="20:20">
      <c r="T304" s="2" t="s">
        <v>407</v>
      </c>
    </row>
    <row r="305" spans="20:20">
      <c r="T305" s="42" t="s">
        <v>96</v>
      </c>
    </row>
    <row r="306" spans="20:20">
      <c r="T306" s="2" t="s">
        <v>411</v>
      </c>
    </row>
    <row r="307" spans="20:20">
      <c r="T307" s="2" t="s">
        <v>408</v>
      </c>
    </row>
    <row r="308" spans="20:20">
      <c r="T308" s="2" t="s">
        <v>409</v>
      </c>
    </row>
    <row r="309" spans="20:20">
      <c r="T309" s="2" t="s">
        <v>410</v>
      </c>
    </row>
    <row r="310" spans="20:20">
      <c r="T310" s="2" t="s">
        <v>412</v>
      </c>
    </row>
    <row r="311" spans="20:20">
      <c r="T311" s="2" t="s">
        <v>413</v>
      </c>
    </row>
    <row r="312" spans="20:20">
      <c r="T312" s="2" t="s">
        <v>414</v>
      </c>
    </row>
    <row r="313" spans="20:20">
      <c r="T313" s="2" t="s">
        <v>415</v>
      </c>
    </row>
    <row r="314" spans="20:20">
      <c r="T314" s="2" t="s">
        <v>416</v>
      </c>
    </row>
    <row r="315" spans="20:20">
      <c r="T315" s="42" t="s">
        <v>97</v>
      </c>
    </row>
    <row r="316" spans="20:20">
      <c r="T316" s="2" t="s">
        <v>417</v>
      </c>
    </row>
    <row r="317" spans="20:20">
      <c r="T317" s="2" t="s">
        <v>419</v>
      </c>
    </row>
    <row r="318" spans="20:20">
      <c r="T318" s="2" t="s">
        <v>420</v>
      </c>
    </row>
    <row r="319" spans="20:20">
      <c r="T319" s="2" t="s">
        <v>418</v>
      </c>
    </row>
    <row r="320" spans="20:20">
      <c r="T320" s="2" t="s">
        <v>421</v>
      </c>
    </row>
    <row r="321" spans="20:20">
      <c r="T321" s="2" t="s">
        <v>422</v>
      </c>
    </row>
    <row r="322" spans="20:20">
      <c r="T322" s="2" t="s">
        <v>98</v>
      </c>
    </row>
    <row r="323" spans="20:20">
      <c r="T323" s="2" t="s">
        <v>423</v>
      </c>
    </row>
    <row r="324" spans="20:20">
      <c r="T324" s="2" t="s">
        <v>424</v>
      </c>
    </row>
    <row r="325" spans="20:20">
      <c r="T325" s="2" t="s">
        <v>425</v>
      </c>
    </row>
    <row r="326" spans="20:20">
      <c r="T326" s="42" t="s">
        <v>99</v>
      </c>
    </row>
    <row r="327" spans="20:20">
      <c r="T327" s="2" t="s">
        <v>434</v>
      </c>
    </row>
    <row r="328" spans="20:20">
      <c r="T328" s="2" t="s">
        <v>426</v>
      </c>
    </row>
    <row r="329" spans="20:20">
      <c r="T329" s="2" t="s">
        <v>427</v>
      </c>
    </row>
    <row r="330" spans="20:20">
      <c r="T330" s="2" t="s">
        <v>428</v>
      </c>
    </row>
    <row r="331" spans="20:20">
      <c r="T331" s="2" t="s">
        <v>429</v>
      </c>
    </row>
    <row r="332" spans="20:20">
      <c r="T332" s="2" t="s">
        <v>430</v>
      </c>
    </row>
    <row r="333" spans="20:20">
      <c r="T333" s="2" t="s">
        <v>431</v>
      </c>
    </row>
    <row r="334" spans="20:20">
      <c r="T334" s="2" t="s">
        <v>432</v>
      </c>
    </row>
    <row r="335" spans="20:20">
      <c r="T335" s="2" t="s">
        <v>433</v>
      </c>
    </row>
    <row r="336" spans="20:20">
      <c r="T336" s="2" t="s">
        <v>435</v>
      </c>
    </row>
    <row r="337" spans="20:20">
      <c r="T337" s="2" t="s">
        <v>436</v>
      </c>
    </row>
    <row r="338" spans="20:20">
      <c r="T338" s="2" t="s">
        <v>437</v>
      </c>
    </row>
    <row r="339" spans="20:20">
      <c r="T339" s="2" t="s">
        <v>438</v>
      </c>
    </row>
    <row r="340" spans="20:20">
      <c r="T340" s="2" t="s">
        <v>439</v>
      </c>
    </row>
    <row r="341" spans="20:20">
      <c r="T341" s="42" t="s">
        <v>100</v>
      </c>
    </row>
    <row r="342" spans="20:20">
      <c r="T342" s="2" t="s">
        <v>440</v>
      </c>
    </row>
    <row r="343" spans="20:20">
      <c r="T343" s="2" t="s">
        <v>441</v>
      </c>
    </row>
    <row r="344" spans="20:20">
      <c r="T344" s="2" t="s">
        <v>442</v>
      </c>
    </row>
    <row r="345" spans="20:20">
      <c r="T345" s="42" t="s">
        <v>101</v>
      </c>
    </row>
    <row r="346" spans="20:20">
      <c r="T346" s="2" t="s">
        <v>444</v>
      </c>
    </row>
    <row r="347" spans="20:20">
      <c r="T347" s="2" t="s">
        <v>443</v>
      </c>
    </row>
    <row r="348" spans="20:20">
      <c r="T348" s="2" t="s">
        <v>445</v>
      </c>
    </row>
    <row r="349" spans="20:20">
      <c r="T349" s="2" t="s">
        <v>446</v>
      </c>
    </row>
    <row r="350" spans="20:20">
      <c r="T350" s="2" t="s">
        <v>447</v>
      </c>
    </row>
    <row r="351" spans="20:20">
      <c r="T351" s="2" t="s">
        <v>448</v>
      </c>
    </row>
    <row r="352" spans="20:20">
      <c r="T352" s="2" t="s">
        <v>449</v>
      </c>
    </row>
    <row r="353" spans="20:20">
      <c r="T353" s="2" t="s">
        <v>450</v>
      </c>
    </row>
    <row r="354" spans="20:20">
      <c r="T354" s="2" t="s">
        <v>451</v>
      </c>
    </row>
    <row r="355" spans="20:20">
      <c r="T355" s="2" t="s">
        <v>452</v>
      </c>
    </row>
    <row r="356" spans="20:20">
      <c r="T356" s="2" t="s">
        <v>453</v>
      </c>
    </row>
    <row r="357" spans="20:20">
      <c r="T357" s="2" t="s">
        <v>454</v>
      </c>
    </row>
    <row r="358" spans="20:20">
      <c r="T358" s="2" t="s">
        <v>455</v>
      </c>
    </row>
    <row r="359" spans="20:20">
      <c r="T359" s="2" t="s">
        <v>456</v>
      </c>
    </row>
    <row r="360" spans="20:20">
      <c r="T360" s="2" t="s">
        <v>457</v>
      </c>
    </row>
    <row r="361" spans="20:20">
      <c r="T361" s="2" t="s">
        <v>458</v>
      </c>
    </row>
    <row r="362" spans="20:20">
      <c r="T362" s="2" t="s">
        <v>459</v>
      </c>
    </row>
    <row r="363" spans="20:20">
      <c r="T363" s="2" t="s">
        <v>460</v>
      </c>
    </row>
    <row r="364" spans="20:20">
      <c r="T364" s="2" t="s">
        <v>461</v>
      </c>
    </row>
    <row r="365" spans="20:20">
      <c r="T365" s="2" t="s">
        <v>462</v>
      </c>
    </row>
    <row r="366" spans="20:20">
      <c r="T366" s="2" t="s">
        <v>463</v>
      </c>
    </row>
    <row r="367" spans="20:20">
      <c r="T367" s="42" t="s">
        <v>102</v>
      </c>
    </row>
    <row r="368" spans="20:20">
      <c r="T368" s="2" t="s">
        <v>464</v>
      </c>
    </row>
    <row r="369" spans="20:20">
      <c r="T369" s="2" t="s">
        <v>465</v>
      </c>
    </row>
    <row r="370" spans="20:20">
      <c r="T370" s="2" t="s">
        <v>466</v>
      </c>
    </row>
    <row r="371" spans="20:20">
      <c r="T371" s="2" t="s">
        <v>467</v>
      </c>
    </row>
    <row r="372" spans="20:20">
      <c r="T372" s="2" t="s">
        <v>468</v>
      </c>
    </row>
    <row r="373" spans="20:20">
      <c r="T373" s="2" t="s">
        <v>469</v>
      </c>
    </row>
    <row r="374" spans="20:20">
      <c r="T374" s="2" t="s">
        <v>470</v>
      </c>
    </row>
    <row r="375" spans="20:20">
      <c r="T375" s="2" t="s">
        <v>471</v>
      </c>
    </row>
    <row r="376" spans="20:20">
      <c r="T376" s="2" t="s">
        <v>472</v>
      </c>
    </row>
    <row r="377" spans="20:20">
      <c r="T377" s="2" t="s">
        <v>473</v>
      </c>
    </row>
    <row r="378" spans="20:20">
      <c r="T378" s="2" t="s">
        <v>474</v>
      </c>
    </row>
    <row r="379" spans="20:20">
      <c r="T379" s="2" t="s">
        <v>475</v>
      </c>
    </row>
    <row r="380" spans="20:20">
      <c r="T380" s="2" t="s">
        <v>476</v>
      </c>
    </row>
    <row r="381" spans="20:20">
      <c r="T381" s="2" t="s">
        <v>477</v>
      </c>
    </row>
    <row r="382" spans="20:20">
      <c r="T382" s="2" t="s">
        <v>478</v>
      </c>
    </row>
    <row r="383" spans="20:20">
      <c r="T383" s="2" t="s">
        <v>479</v>
      </c>
    </row>
    <row r="384" spans="20:20">
      <c r="T384" s="2" t="s">
        <v>480</v>
      </c>
    </row>
    <row r="385" spans="20:20">
      <c r="T385" s="42" t="s">
        <v>103</v>
      </c>
    </row>
    <row r="386" spans="20:20">
      <c r="T386" s="2" t="s">
        <v>492</v>
      </c>
    </row>
    <row r="387" spans="20:20">
      <c r="T387" s="2" t="s">
        <v>491</v>
      </c>
    </row>
    <row r="388" spans="20:20">
      <c r="T388" s="2" t="s">
        <v>481</v>
      </c>
    </row>
    <row r="389" spans="20:20">
      <c r="T389" s="2" t="s">
        <v>502</v>
      </c>
    </row>
    <row r="390" spans="20:20">
      <c r="T390" s="2" t="s">
        <v>503</v>
      </c>
    </row>
    <row r="391" spans="20:20">
      <c r="T391" s="2" t="s">
        <v>504</v>
      </c>
    </row>
    <row r="392" spans="20:20">
      <c r="T392" s="2" t="s">
        <v>495</v>
      </c>
    </row>
    <row r="393" spans="20:20">
      <c r="T393" s="2" t="s">
        <v>494</v>
      </c>
    </row>
    <row r="394" spans="20:20">
      <c r="T394" s="2" t="s">
        <v>497</v>
      </c>
    </row>
    <row r="395" spans="20:20">
      <c r="T395" s="2" t="s">
        <v>498</v>
      </c>
    </row>
    <row r="396" spans="20:20">
      <c r="T396" s="2" t="s">
        <v>499</v>
      </c>
    </row>
    <row r="397" spans="20:20">
      <c r="T397" s="2" t="s">
        <v>500</v>
      </c>
    </row>
    <row r="398" spans="20:20">
      <c r="T398" s="2" t="s">
        <v>490</v>
      </c>
    </row>
    <row r="399" spans="20:20">
      <c r="T399" s="2" t="s">
        <v>489</v>
      </c>
    </row>
    <row r="400" spans="20:20">
      <c r="T400" s="2" t="s">
        <v>482</v>
      </c>
    </row>
    <row r="401" spans="20:20">
      <c r="T401" s="2" t="s">
        <v>483</v>
      </c>
    </row>
    <row r="402" spans="20:20">
      <c r="T402" s="2" t="s">
        <v>970</v>
      </c>
    </row>
    <row r="403" spans="20:20">
      <c r="T403" s="2" t="s">
        <v>484</v>
      </c>
    </row>
    <row r="404" spans="20:20">
      <c r="T404" s="2" t="s">
        <v>485</v>
      </c>
    </row>
    <row r="405" spans="20:20">
      <c r="T405" s="2" t="s">
        <v>486</v>
      </c>
    </row>
    <row r="406" spans="20:20">
      <c r="T406" s="2" t="s">
        <v>487</v>
      </c>
    </row>
    <row r="407" spans="20:20">
      <c r="T407" s="2" t="s">
        <v>488</v>
      </c>
    </row>
    <row r="408" spans="20:20">
      <c r="T408" s="2" t="s">
        <v>493</v>
      </c>
    </row>
    <row r="409" spans="20:20">
      <c r="T409" s="2" t="s">
        <v>496</v>
      </c>
    </row>
    <row r="410" spans="20:20">
      <c r="T410" s="2" t="s">
        <v>501</v>
      </c>
    </row>
    <row r="411" spans="20:20">
      <c r="T411" s="2" t="s">
        <v>505</v>
      </c>
    </row>
    <row r="412" spans="20:20">
      <c r="T412" s="2" t="s">
        <v>506</v>
      </c>
    </row>
    <row r="413" spans="20:20">
      <c r="T413" s="2" t="s">
        <v>507</v>
      </c>
    </row>
    <row r="414" spans="20:20">
      <c r="T414" s="2" t="s">
        <v>963</v>
      </c>
    </row>
    <row r="415" spans="20:20">
      <c r="T415" s="2" t="s">
        <v>508</v>
      </c>
    </row>
    <row r="416" spans="20:20">
      <c r="T416" s="2" t="s">
        <v>509</v>
      </c>
    </row>
    <row r="417" spans="20:20">
      <c r="T417" s="2" t="s">
        <v>510</v>
      </c>
    </row>
    <row r="418" spans="20:20">
      <c r="T418" s="2" t="s">
        <v>511</v>
      </c>
    </row>
    <row r="419" spans="20:20">
      <c r="T419" s="2" t="s">
        <v>512</v>
      </c>
    </row>
    <row r="420" spans="20:20">
      <c r="T420" s="2" t="s">
        <v>513</v>
      </c>
    </row>
    <row r="421" spans="20:20">
      <c r="T421" s="2" t="s">
        <v>514</v>
      </c>
    </row>
    <row r="422" spans="20:20">
      <c r="T422" s="2" t="s">
        <v>515</v>
      </c>
    </row>
    <row r="423" spans="20:20">
      <c r="T423" s="2" t="s">
        <v>516</v>
      </c>
    </row>
    <row r="424" spans="20:20">
      <c r="T424" s="2" t="s">
        <v>517</v>
      </c>
    </row>
    <row r="425" spans="20:20">
      <c r="T425" s="2" t="s">
        <v>971</v>
      </c>
    </row>
    <row r="426" spans="20:20">
      <c r="T426" s="42" t="s">
        <v>104</v>
      </c>
    </row>
    <row r="427" spans="20:20">
      <c r="T427" s="2" t="s">
        <v>518</v>
      </c>
    </row>
    <row r="428" spans="20:20">
      <c r="T428" s="2" t="s">
        <v>519</v>
      </c>
    </row>
    <row r="429" spans="20:20">
      <c r="T429" s="2" t="s">
        <v>520</v>
      </c>
    </row>
    <row r="430" spans="20:20">
      <c r="T430" s="2" t="s">
        <v>521</v>
      </c>
    </row>
    <row r="431" spans="20:20">
      <c r="T431" s="2" t="s">
        <v>522</v>
      </c>
    </row>
    <row r="432" spans="20:20">
      <c r="T432" s="2" t="s">
        <v>523</v>
      </c>
    </row>
    <row r="433" spans="20:20">
      <c r="T433" s="2" t="s">
        <v>524</v>
      </c>
    </row>
    <row r="434" spans="20:20">
      <c r="T434" s="2" t="s">
        <v>525</v>
      </c>
    </row>
    <row r="435" spans="20:20">
      <c r="T435" s="2" t="s">
        <v>526</v>
      </c>
    </row>
    <row r="436" spans="20:20">
      <c r="T436" s="2" t="s">
        <v>527</v>
      </c>
    </row>
    <row r="437" spans="20:20">
      <c r="T437" s="2" t="s">
        <v>528</v>
      </c>
    </row>
    <row r="438" spans="20:20">
      <c r="T438" s="2" t="s">
        <v>529</v>
      </c>
    </row>
    <row r="439" spans="20:20">
      <c r="T439" s="2" t="s">
        <v>530</v>
      </c>
    </row>
    <row r="440" spans="20:20">
      <c r="T440" s="2" t="s">
        <v>531</v>
      </c>
    </row>
    <row r="441" spans="20:20">
      <c r="T441" s="2" t="s">
        <v>532</v>
      </c>
    </row>
    <row r="442" spans="20:20">
      <c r="T442" s="2" t="s">
        <v>533</v>
      </c>
    </row>
    <row r="443" spans="20:20">
      <c r="T443" s="2" t="s">
        <v>534</v>
      </c>
    </row>
    <row r="444" spans="20:20">
      <c r="T444" s="2" t="s">
        <v>535</v>
      </c>
    </row>
    <row r="445" spans="20:20">
      <c r="T445" s="2" t="s">
        <v>536</v>
      </c>
    </row>
    <row r="446" spans="20:20">
      <c r="T446" s="2" t="s">
        <v>537</v>
      </c>
    </row>
    <row r="447" spans="20:20">
      <c r="T447" s="2" t="s">
        <v>538</v>
      </c>
    </row>
    <row r="448" spans="20:20">
      <c r="T448" s="2" t="s">
        <v>539</v>
      </c>
    </row>
    <row r="449" spans="20:20">
      <c r="T449" s="2" t="s">
        <v>540</v>
      </c>
    </row>
    <row r="450" spans="20:20">
      <c r="T450" s="2" t="s">
        <v>541</v>
      </c>
    </row>
    <row r="451" spans="20:20">
      <c r="T451" s="2" t="s">
        <v>542</v>
      </c>
    </row>
    <row r="452" spans="20:20">
      <c r="T452" s="2" t="s">
        <v>543</v>
      </c>
    </row>
    <row r="453" spans="20:20">
      <c r="T453" s="2" t="s">
        <v>544</v>
      </c>
    </row>
    <row r="454" spans="20:20">
      <c r="T454" s="2" t="s">
        <v>545</v>
      </c>
    </row>
    <row r="455" spans="20:20">
      <c r="T455" s="2" t="s">
        <v>546</v>
      </c>
    </row>
    <row r="456" spans="20:20">
      <c r="T456" s="2" t="s">
        <v>547</v>
      </c>
    </row>
    <row r="457" spans="20:20">
      <c r="T457" s="2" t="s">
        <v>548</v>
      </c>
    </row>
    <row r="458" spans="20:20">
      <c r="T458" s="2" t="s">
        <v>549</v>
      </c>
    </row>
    <row r="459" spans="20:20">
      <c r="T459" s="2" t="s">
        <v>550</v>
      </c>
    </row>
    <row r="460" spans="20:20">
      <c r="T460" s="2" t="s">
        <v>551</v>
      </c>
    </row>
    <row r="461" spans="20:20">
      <c r="T461" s="2" t="s">
        <v>552</v>
      </c>
    </row>
    <row r="462" spans="20:20">
      <c r="T462" s="2" t="s">
        <v>553</v>
      </c>
    </row>
    <row r="463" spans="20:20">
      <c r="T463" s="42" t="s">
        <v>554</v>
      </c>
    </row>
    <row r="464" spans="20:20">
      <c r="T464" s="2" t="s">
        <v>555</v>
      </c>
    </row>
    <row r="465" spans="20:20">
      <c r="T465" s="2" t="s">
        <v>556</v>
      </c>
    </row>
    <row r="466" spans="20:20">
      <c r="T466" s="2" t="s">
        <v>557</v>
      </c>
    </row>
    <row r="467" spans="20:20">
      <c r="T467" s="2" t="s">
        <v>558</v>
      </c>
    </row>
    <row r="468" spans="20:20">
      <c r="T468" s="2" t="s">
        <v>559</v>
      </c>
    </row>
    <row r="469" spans="20:20">
      <c r="T469" s="2" t="s">
        <v>560</v>
      </c>
    </row>
    <row r="470" spans="20:20">
      <c r="T470" s="2" t="s">
        <v>561</v>
      </c>
    </row>
    <row r="471" spans="20:20">
      <c r="T471" s="2" t="s">
        <v>562</v>
      </c>
    </row>
    <row r="472" spans="20:20">
      <c r="T472" s="2" t="s">
        <v>563</v>
      </c>
    </row>
    <row r="473" spans="20:20">
      <c r="T473" s="2" t="s">
        <v>564</v>
      </c>
    </row>
    <row r="474" spans="20:20">
      <c r="T474" s="2" t="s">
        <v>565</v>
      </c>
    </row>
    <row r="475" spans="20:20">
      <c r="T475" s="2" t="s">
        <v>566</v>
      </c>
    </row>
    <row r="476" spans="20:20">
      <c r="T476" s="2" t="s">
        <v>567</v>
      </c>
    </row>
    <row r="477" spans="20:20">
      <c r="T477" s="2" t="s">
        <v>568</v>
      </c>
    </row>
    <row r="478" spans="20:20">
      <c r="T478" s="2" t="s">
        <v>569</v>
      </c>
    </row>
    <row r="479" spans="20:20">
      <c r="T479" s="2" t="s">
        <v>570</v>
      </c>
    </row>
    <row r="480" spans="20:20">
      <c r="T480" s="2" t="s">
        <v>571</v>
      </c>
    </row>
    <row r="481" spans="20:20">
      <c r="T481" s="2" t="s">
        <v>572</v>
      </c>
    </row>
    <row r="482" spans="20:20">
      <c r="T482" s="2" t="s">
        <v>573</v>
      </c>
    </row>
    <row r="483" spans="20:20">
      <c r="T483" s="2" t="s">
        <v>574</v>
      </c>
    </row>
    <row r="484" spans="20:20">
      <c r="T484" s="2" t="s">
        <v>575</v>
      </c>
    </row>
    <row r="485" spans="20:20">
      <c r="T485" s="2" t="s">
        <v>576</v>
      </c>
    </row>
    <row r="486" spans="20:20">
      <c r="T486" s="2" t="s">
        <v>577</v>
      </c>
    </row>
    <row r="487" spans="20:20">
      <c r="T487" s="42" t="s">
        <v>105</v>
      </c>
    </row>
    <row r="488" spans="20:20">
      <c r="T488" s="2" t="s">
        <v>578</v>
      </c>
    </row>
    <row r="489" spans="20:20">
      <c r="T489" s="2" t="s">
        <v>579</v>
      </c>
    </row>
    <row r="490" spans="20:20">
      <c r="T490" s="2" t="s">
        <v>964</v>
      </c>
    </row>
    <row r="491" spans="20:20">
      <c r="T491" s="2" t="s">
        <v>580</v>
      </c>
    </row>
    <row r="492" spans="20:20">
      <c r="T492" s="2" t="s">
        <v>581</v>
      </c>
    </row>
    <row r="493" spans="20:20">
      <c r="T493" s="2" t="s">
        <v>582</v>
      </c>
    </row>
    <row r="494" spans="20:20">
      <c r="T494" s="2" t="s">
        <v>583</v>
      </c>
    </row>
    <row r="495" spans="20:20">
      <c r="T495" s="2" t="s">
        <v>584</v>
      </c>
    </row>
    <row r="496" spans="20:20">
      <c r="T496" s="2" t="s">
        <v>585</v>
      </c>
    </row>
    <row r="497" spans="20:20">
      <c r="T497" s="2" t="s">
        <v>586</v>
      </c>
    </row>
    <row r="498" spans="20:20">
      <c r="T498" s="2" t="s">
        <v>587</v>
      </c>
    </row>
    <row r="499" spans="20:20">
      <c r="T499" s="2" t="s">
        <v>588</v>
      </c>
    </row>
    <row r="500" spans="20:20">
      <c r="T500" s="2" t="s">
        <v>589</v>
      </c>
    </row>
    <row r="501" spans="20:20">
      <c r="T501" s="42" t="s">
        <v>106</v>
      </c>
    </row>
    <row r="502" spans="20:20">
      <c r="T502" s="2" t="s">
        <v>590</v>
      </c>
    </row>
    <row r="503" spans="20:20">
      <c r="T503" s="2" t="s">
        <v>591</v>
      </c>
    </row>
    <row r="504" spans="20:20">
      <c r="T504" s="2" t="s">
        <v>592</v>
      </c>
    </row>
    <row r="505" spans="20:20">
      <c r="T505" s="2" t="s">
        <v>593</v>
      </c>
    </row>
    <row r="506" spans="20:20">
      <c r="T506" s="42" t="s">
        <v>107</v>
      </c>
    </row>
    <row r="507" spans="20:20">
      <c r="T507" s="2" t="s">
        <v>594</v>
      </c>
    </row>
    <row r="508" spans="20:20">
      <c r="T508" s="2" t="s">
        <v>965</v>
      </c>
    </row>
    <row r="509" spans="20:20">
      <c r="T509" s="2" t="s">
        <v>966</v>
      </c>
    </row>
    <row r="510" spans="20:20">
      <c r="T510" s="2" t="s">
        <v>595</v>
      </c>
    </row>
    <row r="511" spans="20:20">
      <c r="T511" s="2" t="s">
        <v>967</v>
      </c>
    </row>
    <row r="512" spans="20:20">
      <c r="T512" s="2" t="s">
        <v>596</v>
      </c>
    </row>
    <row r="513" spans="20:20">
      <c r="T513" s="2" t="s">
        <v>968</v>
      </c>
    </row>
    <row r="514" spans="20:20">
      <c r="T514" s="2" t="s">
        <v>597</v>
      </c>
    </row>
    <row r="515" spans="20:20">
      <c r="T515" s="2" t="s">
        <v>598</v>
      </c>
    </row>
    <row r="516" spans="20:20">
      <c r="T516" s="2" t="s">
        <v>599</v>
      </c>
    </row>
    <row r="517" spans="20:20">
      <c r="T517" s="2" t="s">
        <v>600</v>
      </c>
    </row>
    <row r="518" spans="20:20">
      <c r="T518" s="42" t="s">
        <v>601</v>
      </c>
    </row>
    <row r="519" spans="20:20">
      <c r="T519" s="2" t="s">
        <v>602</v>
      </c>
    </row>
    <row r="520" spans="20:20">
      <c r="T520" s="2" t="s">
        <v>603</v>
      </c>
    </row>
    <row r="521" spans="20:20">
      <c r="T521" s="2" t="s">
        <v>604</v>
      </c>
    </row>
    <row r="522" spans="20:20">
      <c r="T522" s="2" t="s">
        <v>605</v>
      </c>
    </row>
    <row r="523" spans="20:20">
      <c r="T523" s="42" t="s">
        <v>108</v>
      </c>
    </row>
    <row r="524" spans="20:20">
      <c r="T524" s="2" t="s">
        <v>630</v>
      </c>
    </row>
    <row r="525" spans="20:20">
      <c r="T525" s="2" t="s">
        <v>616</v>
      </c>
    </row>
    <row r="526" spans="20:20">
      <c r="T526" s="2" t="s">
        <v>609</v>
      </c>
    </row>
    <row r="527" spans="20:20">
      <c r="T527" s="2" t="s">
        <v>610</v>
      </c>
    </row>
    <row r="528" spans="20:20">
      <c r="T528" s="2" t="s">
        <v>615</v>
      </c>
    </row>
    <row r="529" spans="20:20">
      <c r="T529" s="2" t="s">
        <v>606</v>
      </c>
    </row>
    <row r="530" spans="20:20">
      <c r="T530" s="2" t="s">
        <v>607</v>
      </c>
    </row>
    <row r="531" spans="20:20">
      <c r="T531" s="2" t="s">
        <v>608</v>
      </c>
    </row>
    <row r="532" spans="20:20">
      <c r="T532" s="2" t="s">
        <v>611</v>
      </c>
    </row>
    <row r="533" spans="20:20">
      <c r="T533" s="2" t="s">
        <v>612</v>
      </c>
    </row>
    <row r="534" spans="20:20">
      <c r="T534" s="2" t="s">
        <v>613</v>
      </c>
    </row>
    <row r="535" spans="20:20">
      <c r="T535" s="2" t="s">
        <v>614</v>
      </c>
    </row>
    <row r="536" spans="20:20">
      <c r="T536" s="2" t="s">
        <v>617</v>
      </c>
    </row>
    <row r="537" spans="20:20">
      <c r="T537" s="2" t="s">
        <v>618</v>
      </c>
    </row>
    <row r="538" spans="20:20">
      <c r="T538" s="2" t="s">
        <v>619</v>
      </c>
    </row>
    <row r="539" spans="20:20">
      <c r="T539" s="2" t="s">
        <v>620</v>
      </c>
    </row>
    <row r="540" spans="20:20">
      <c r="T540" s="2" t="s">
        <v>621</v>
      </c>
    </row>
    <row r="541" spans="20:20">
      <c r="T541" s="2" t="s">
        <v>622</v>
      </c>
    </row>
    <row r="542" spans="20:20">
      <c r="T542" s="2" t="s">
        <v>623</v>
      </c>
    </row>
    <row r="543" spans="20:20">
      <c r="T543" s="2" t="s">
        <v>624</v>
      </c>
    </row>
    <row r="544" spans="20:20">
      <c r="T544" s="2" t="s">
        <v>625</v>
      </c>
    </row>
    <row r="545" spans="20:20">
      <c r="T545" s="2" t="s">
        <v>626</v>
      </c>
    </row>
    <row r="546" spans="20:20">
      <c r="T546" s="2" t="s">
        <v>627</v>
      </c>
    </row>
    <row r="547" spans="20:20">
      <c r="T547" s="2" t="s">
        <v>628</v>
      </c>
    </row>
    <row r="548" spans="20:20">
      <c r="T548" s="2" t="s">
        <v>629</v>
      </c>
    </row>
    <row r="549" spans="20:20">
      <c r="T549" s="2" t="s">
        <v>631</v>
      </c>
    </row>
    <row r="550" spans="20:20">
      <c r="T550" s="2" t="s">
        <v>632</v>
      </c>
    </row>
    <row r="551" spans="20:20">
      <c r="T551" s="2" t="s">
        <v>633</v>
      </c>
    </row>
    <row r="552" spans="20:20">
      <c r="T552" s="2" t="s">
        <v>634</v>
      </c>
    </row>
    <row r="553" spans="20:20">
      <c r="T553" s="42" t="s">
        <v>109</v>
      </c>
    </row>
    <row r="554" spans="20:20">
      <c r="T554" s="2" t="s">
        <v>635</v>
      </c>
    </row>
    <row r="555" spans="20:20">
      <c r="T555" s="2" t="s">
        <v>636</v>
      </c>
    </row>
    <row r="556" spans="20:20">
      <c r="T556" s="2" t="s">
        <v>637</v>
      </c>
    </row>
    <row r="557" spans="20:20">
      <c r="T557" s="2" t="s">
        <v>638</v>
      </c>
    </row>
    <row r="558" spans="20:20">
      <c r="T558" s="2" t="s">
        <v>639</v>
      </c>
    </row>
    <row r="559" spans="20:20">
      <c r="T559" s="2" t="s">
        <v>640</v>
      </c>
    </row>
    <row r="560" spans="20:20">
      <c r="T560" s="2" t="s">
        <v>641</v>
      </c>
    </row>
    <row r="561" spans="20:20">
      <c r="T561" s="2" t="s">
        <v>642</v>
      </c>
    </row>
    <row r="562" spans="20:20">
      <c r="T562" s="2" t="s">
        <v>643</v>
      </c>
    </row>
    <row r="563" spans="20:20">
      <c r="T563" s="2" t="s">
        <v>644</v>
      </c>
    </row>
    <row r="564" spans="20:20">
      <c r="T564" s="2" t="s">
        <v>645</v>
      </c>
    </row>
    <row r="565" spans="20:20">
      <c r="T565" s="2" t="s">
        <v>646</v>
      </c>
    </row>
    <row r="566" spans="20:20">
      <c r="T566" s="2" t="s">
        <v>647</v>
      </c>
    </row>
    <row r="567" spans="20:20">
      <c r="T567" s="2" t="s">
        <v>648</v>
      </c>
    </row>
    <row r="568" spans="20:20">
      <c r="T568" s="2" t="s">
        <v>649</v>
      </c>
    </row>
    <row r="569" spans="20:20">
      <c r="T569" s="2" t="s">
        <v>650</v>
      </c>
    </row>
    <row r="570" spans="20:20">
      <c r="T570" s="2" t="s">
        <v>651</v>
      </c>
    </row>
    <row r="571" spans="20:20">
      <c r="T571" s="2" t="s">
        <v>652</v>
      </c>
    </row>
    <row r="572" spans="20:20">
      <c r="T572" s="2" t="s">
        <v>653</v>
      </c>
    </row>
    <row r="573" spans="20:20">
      <c r="T573" s="2" t="s">
        <v>654</v>
      </c>
    </row>
    <row r="574" spans="20:20">
      <c r="T574" s="2" t="s">
        <v>655</v>
      </c>
    </row>
    <row r="575" spans="20:20">
      <c r="T575" s="2" t="s">
        <v>656</v>
      </c>
    </row>
    <row r="576" spans="20:20">
      <c r="T576" s="2" t="s">
        <v>657</v>
      </c>
    </row>
    <row r="577" spans="20:20">
      <c r="T577" s="2" t="s">
        <v>658</v>
      </c>
    </row>
    <row r="578" spans="20:20">
      <c r="T578" s="2" t="s">
        <v>659</v>
      </c>
    </row>
    <row r="579" spans="20:20">
      <c r="T579" s="2" t="s">
        <v>660</v>
      </c>
    </row>
    <row r="580" spans="20:20">
      <c r="T580" s="2" t="s">
        <v>661</v>
      </c>
    </row>
    <row r="581" spans="20:20">
      <c r="T581" s="2" t="s">
        <v>662</v>
      </c>
    </row>
    <row r="582" spans="20:20">
      <c r="T582" s="2" t="s">
        <v>663</v>
      </c>
    </row>
    <row r="583" spans="20:20">
      <c r="T583" s="2" t="s">
        <v>664</v>
      </c>
    </row>
    <row r="584" spans="20:20">
      <c r="T584" s="2" t="s">
        <v>665</v>
      </c>
    </row>
    <row r="585" spans="20:20">
      <c r="T585" s="2" t="s">
        <v>666</v>
      </c>
    </row>
    <row r="586" spans="20:20">
      <c r="T586" s="2" t="s">
        <v>667</v>
      </c>
    </row>
    <row r="587" spans="20:20">
      <c r="T587" s="2" t="s">
        <v>668</v>
      </c>
    </row>
    <row r="588" spans="20:20">
      <c r="T588" s="2" t="s">
        <v>669</v>
      </c>
    </row>
    <row r="589" spans="20:20">
      <c r="T589" s="2" t="s">
        <v>670</v>
      </c>
    </row>
    <row r="590" spans="20:20">
      <c r="T590" s="2" t="s">
        <v>671</v>
      </c>
    </row>
    <row r="591" spans="20:20">
      <c r="T591" s="2" t="s">
        <v>672</v>
      </c>
    </row>
    <row r="592" spans="20:20">
      <c r="T592" s="2" t="s">
        <v>673</v>
      </c>
    </row>
    <row r="593" spans="20:20">
      <c r="T593" s="2" t="s">
        <v>674</v>
      </c>
    </row>
    <row r="594" spans="20:20">
      <c r="T594" s="2" t="s">
        <v>675</v>
      </c>
    </row>
    <row r="595" spans="20:20">
      <c r="T595" s="2" t="s">
        <v>676</v>
      </c>
    </row>
    <row r="596" spans="20:20">
      <c r="T596" s="2" t="s">
        <v>677</v>
      </c>
    </row>
    <row r="597" spans="20:20">
      <c r="T597" s="2" t="s">
        <v>678</v>
      </c>
    </row>
    <row r="598" spans="20:20">
      <c r="T598" s="2" t="s">
        <v>679</v>
      </c>
    </row>
    <row r="599" spans="20:20">
      <c r="T599" s="2" t="s">
        <v>680</v>
      </c>
    </row>
    <row r="600" spans="20:20">
      <c r="T600" s="2" t="s">
        <v>681</v>
      </c>
    </row>
    <row r="601" spans="20:20">
      <c r="T601" s="2" t="s">
        <v>682</v>
      </c>
    </row>
    <row r="602" spans="20:20">
      <c r="T602" s="2" t="s">
        <v>683</v>
      </c>
    </row>
    <row r="603" spans="20:20">
      <c r="T603" s="2" t="s">
        <v>684</v>
      </c>
    </row>
    <row r="604" spans="20:20">
      <c r="T604" s="2" t="s">
        <v>685</v>
      </c>
    </row>
    <row r="605" spans="20:20">
      <c r="T605" s="2" t="s">
        <v>686</v>
      </c>
    </row>
    <row r="606" spans="20:20">
      <c r="T606" s="2" t="s">
        <v>687</v>
      </c>
    </row>
    <row r="607" spans="20:20">
      <c r="T607" s="2" t="s">
        <v>688</v>
      </c>
    </row>
    <row r="608" spans="20:20">
      <c r="T608" s="42" t="s">
        <v>110</v>
      </c>
    </row>
    <row r="609" spans="20:20">
      <c r="T609" s="2" t="s">
        <v>689</v>
      </c>
    </row>
    <row r="610" spans="20:20">
      <c r="T610" s="2" t="s">
        <v>690</v>
      </c>
    </row>
    <row r="611" spans="20:20">
      <c r="T611" s="2" t="s">
        <v>691</v>
      </c>
    </row>
    <row r="612" spans="20:20">
      <c r="T612" s="2" t="s">
        <v>692</v>
      </c>
    </row>
    <row r="613" spans="20:20">
      <c r="T613" s="2" t="s">
        <v>693</v>
      </c>
    </row>
    <row r="614" spans="20:20">
      <c r="T614" s="2" t="s">
        <v>694</v>
      </c>
    </row>
    <row r="615" spans="20:20">
      <c r="T615" s="2" t="s">
        <v>695</v>
      </c>
    </row>
    <row r="616" spans="20:20">
      <c r="T616" s="2" t="s">
        <v>696</v>
      </c>
    </row>
    <row r="617" spans="20:20">
      <c r="T617" s="2" t="s">
        <v>697</v>
      </c>
    </row>
    <row r="618" spans="20:20">
      <c r="T618" s="2" t="s">
        <v>698</v>
      </c>
    </row>
    <row r="619" spans="20:20">
      <c r="T619" s="2" t="s">
        <v>699</v>
      </c>
    </row>
    <row r="620" spans="20:20">
      <c r="T620" s="2" t="s">
        <v>700</v>
      </c>
    </row>
    <row r="621" spans="20:20">
      <c r="T621" s="2" t="s">
        <v>701</v>
      </c>
    </row>
    <row r="622" spans="20:20">
      <c r="T622" s="2" t="s">
        <v>702</v>
      </c>
    </row>
    <row r="623" spans="20:20">
      <c r="T623" s="2" t="s">
        <v>703</v>
      </c>
    </row>
    <row r="624" spans="20:20">
      <c r="T624" s="2" t="s">
        <v>704</v>
      </c>
    </row>
    <row r="625" spans="20:20">
      <c r="T625" s="2" t="s">
        <v>705</v>
      </c>
    </row>
    <row r="626" spans="20:20">
      <c r="T626" s="2" t="s">
        <v>706</v>
      </c>
    </row>
    <row r="627" spans="20:20">
      <c r="T627" s="2" t="s">
        <v>707</v>
      </c>
    </row>
    <row r="628" spans="20:20">
      <c r="T628" s="2" t="s">
        <v>708</v>
      </c>
    </row>
    <row r="629" spans="20:20">
      <c r="T629" s="2" t="s">
        <v>709</v>
      </c>
    </row>
    <row r="630" spans="20:20">
      <c r="T630" s="2" t="s">
        <v>710</v>
      </c>
    </row>
    <row r="631" spans="20:20">
      <c r="T631" s="2" t="s">
        <v>711</v>
      </c>
    </row>
    <row r="632" spans="20:20">
      <c r="T632" s="42" t="s">
        <v>111</v>
      </c>
    </row>
    <row r="633" spans="20:20">
      <c r="T633" s="2" t="s">
        <v>712</v>
      </c>
    </row>
    <row r="634" spans="20:20">
      <c r="T634" s="2" t="s">
        <v>713</v>
      </c>
    </row>
    <row r="635" spans="20:20">
      <c r="T635" s="2" t="s">
        <v>714</v>
      </c>
    </row>
    <row r="636" spans="20:20">
      <c r="T636" s="2" t="s">
        <v>715</v>
      </c>
    </row>
    <row r="637" spans="20:20">
      <c r="T637" s="2" t="s">
        <v>716</v>
      </c>
    </row>
    <row r="638" spans="20:20">
      <c r="T638" s="2" t="s">
        <v>717</v>
      </c>
    </row>
    <row r="639" spans="20:20">
      <c r="T639" s="2" t="s">
        <v>718</v>
      </c>
    </row>
    <row r="640" spans="20:20">
      <c r="T640" s="2" t="s">
        <v>719</v>
      </c>
    </row>
    <row r="641" spans="20:20">
      <c r="T641" s="2" t="s">
        <v>720</v>
      </c>
    </row>
    <row r="642" spans="20:20">
      <c r="T642" s="2" t="s">
        <v>721</v>
      </c>
    </row>
    <row r="643" spans="20:20">
      <c r="T643" s="2" t="s">
        <v>722</v>
      </c>
    </row>
    <row r="644" spans="20:20">
      <c r="T644" s="2" t="s">
        <v>723</v>
      </c>
    </row>
    <row r="645" spans="20:20">
      <c r="T645" s="2" t="s">
        <v>724</v>
      </c>
    </row>
    <row r="646" spans="20:20">
      <c r="T646" s="2" t="s">
        <v>725</v>
      </c>
    </row>
    <row r="647" spans="20:20">
      <c r="T647" s="2" t="s">
        <v>112</v>
      </c>
    </row>
    <row r="648" spans="20:20">
      <c r="T648" s="2" t="s">
        <v>726</v>
      </c>
    </row>
    <row r="649" spans="20:20">
      <c r="T649" s="2" t="s">
        <v>727</v>
      </c>
    </row>
    <row r="650" spans="20:20">
      <c r="T650" s="2" t="s">
        <v>728</v>
      </c>
    </row>
    <row r="651" spans="20:20">
      <c r="T651" s="2" t="s">
        <v>729</v>
      </c>
    </row>
    <row r="652" spans="20:20">
      <c r="T652" s="2" t="s">
        <v>730</v>
      </c>
    </row>
    <row r="653" spans="20:20">
      <c r="T653" s="2" t="s">
        <v>731</v>
      </c>
    </row>
    <row r="654" spans="20:20">
      <c r="T654" s="2" t="s">
        <v>732</v>
      </c>
    </row>
    <row r="655" spans="20:20">
      <c r="T655" s="2" t="s">
        <v>733</v>
      </c>
    </row>
    <row r="656" spans="20:20">
      <c r="T656" s="2" t="s">
        <v>734</v>
      </c>
    </row>
    <row r="657" spans="20:20">
      <c r="T657" s="2" t="s">
        <v>735</v>
      </c>
    </row>
    <row r="658" spans="20:20">
      <c r="T658" s="2" t="s">
        <v>736</v>
      </c>
    </row>
    <row r="659" spans="20:20">
      <c r="T659" s="2" t="s">
        <v>737</v>
      </c>
    </row>
    <row r="660" spans="20:20">
      <c r="T660" s="2" t="s">
        <v>738</v>
      </c>
    </row>
    <row r="661" spans="20:20">
      <c r="T661" s="2" t="s">
        <v>739</v>
      </c>
    </row>
    <row r="662" spans="20:20">
      <c r="T662" s="2" t="s">
        <v>740</v>
      </c>
    </row>
    <row r="663" spans="20:20">
      <c r="T663" s="2" t="s">
        <v>741</v>
      </c>
    </row>
    <row r="664" spans="20:20">
      <c r="T664" s="2" t="s">
        <v>742</v>
      </c>
    </row>
    <row r="665" spans="20:20">
      <c r="T665" s="2" t="s">
        <v>743</v>
      </c>
    </row>
    <row r="666" spans="20:20">
      <c r="T666" s="2" t="s">
        <v>744</v>
      </c>
    </row>
    <row r="667" spans="20:20">
      <c r="T667" s="2" t="s">
        <v>745</v>
      </c>
    </row>
    <row r="668" spans="20:20">
      <c r="T668" s="2" t="s">
        <v>746</v>
      </c>
    </row>
    <row r="669" spans="20:20">
      <c r="T669" s="2" t="s">
        <v>747</v>
      </c>
    </row>
    <row r="670" spans="20:20">
      <c r="T670" s="2" t="s">
        <v>748</v>
      </c>
    </row>
    <row r="671" spans="20:20">
      <c r="T671" s="2" t="s">
        <v>749</v>
      </c>
    </row>
    <row r="672" spans="20:20">
      <c r="T672" s="2" t="s">
        <v>750</v>
      </c>
    </row>
    <row r="673" spans="20:20">
      <c r="T673" s="2" t="s">
        <v>751</v>
      </c>
    </row>
    <row r="674" spans="20:20">
      <c r="T674" s="2" t="s">
        <v>752</v>
      </c>
    </row>
    <row r="675" spans="20:20">
      <c r="T675" s="2" t="s">
        <v>753</v>
      </c>
    </row>
    <row r="676" spans="20:20">
      <c r="T676" s="2" t="s">
        <v>754</v>
      </c>
    </row>
    <row r="677" spans="20:20">
      <c r="T677" s="2" t="s">
        <v>755</v>
      </c>
    </row>
    <row r="678" spans="20:20">
      <c r="T678" s="2" t="s">
        <v>756</v>
      </c>
    </row>
    <row r="679" spans="20:20">
      <c r="T679" s="2" t="s">
        <v>757</v>
      </c>
    </row>
    <row r="680" spans="20:20">
      <c r="T680" s="2" t="s">
        <v>758</v>
      </c>
    </row>
    <row r="681" spans="20:20">
      <c r="T681" s="2" t="s">
        <v>759</v>
      </c>
    </row>
    <row r="682" spans="20:20">
      <c r="T682" s="2" t="s">
        <v>760</v>
      </c>
    </row>
    <row r="683" spans="20:20">
      <c r="T683" s="2" t="s">
        <v>761</v>
      </c>
    </row>
    <row r="684" spans="20:20">
      <c r="T684" s="2" t="s">
        <v>762</v>
      </c>
    </row>
    <row r="685" spans="20:20">
      <c r="T685" s="2" t="s">
        <v>763</v>
      </c>
    </row>
    <row r="686" spans="20:20">
      <c r="T686" s="2" t="s">
        <v>764</v>
      </c>
    </row>
    <row r="687" spans="20:20">
      <c r="T687" s="2" t="s">
        <v>765</v>
      </c>
    </row>
    <row r="688" spans="20:20">
      <c r="T688" s="2" t="s">
        <v>766</v>
      </c>
    </row>
    <row r="689" spans="20:20">
      <c r="T689" s="2" t="s">
        <v>767</v>
      </c>
    </row>
    <row r="690" spans="20:20">
      <c r="T690" s="2" t="s">
        <v>768</v>
      </c>
    </row>
    <row r="691" spans="20:20">
      <c r="T691" s="2" t="s">
        <v>769</v>
      </c>
    </row>
    <row r="692" spans="20:20">
      <c r="T692" s="2" t="s">
        <v>770</v>
      </c>
    </row>
    <row r="693" spans="20:20">
      <c r="T693" s="2" t="s">
        <v>771</v>
      </c>
    </row>
    <row r="694" spans="20:20">
      <c r="T694" s="2" t="s">
        <v>772</v>
      </c>
    </row>
    <row r="695" spans="20:20">
      <c r="T695" s="2" t="s">
        <v>773</v>
      </c>
    </row>
    <row r="696" spans="20:20">
      <c r="T696" s="2" t="s">
        <v>774</v>
      </c>
    </row>
    <row r="697" spans="20:20">
      <c r="T697" s="2" t="s">
        <v>775</v>
      </c>
    </row>
    <row r="698" spans="20:20">
      <c r="T698" s="2" t="s">
        <v>776</v>
      </c>
    </row>
    <row r="699" spans="20:20">
      <c r="T699" s="2" t="s">
        <v>777</v>
      </c>
    </row>
    <row r="700" spans="20:20">
      <c r="T700" s="2" t="s">
        <v>778</v>
      </c>
    </row>
    <row r="701" spans="20:20">
      <c r="T701" s="2" t="s">
        <v>779</v>
      </c>
    </row>
    <row r="702" spans="20:20">
      <c r="T702" s="2" t="s">
        <v>780</v>
      </c>
    </row>
    <row r="703" spans="20:20">
      <c r="T703" s="2" t="s">
        <v>781</v>
      </c>
    </row>
    <row r="704" spans="20:20">
      <c r="T704" s="2" t="s">
        <v>782</v>
      </c>
    </row>
    <row r="705" spans="20:20">
      <c r="T705" s="2" t="s">
        <v>783</v>
      </c>
    </row>
    <row r="706" spans="20:20">
      <c r="T706" s="2" t="s">
        <v>784</v>
      </c>
    </row>
    <row r="707" spans="20:20">
      <c r="T707" s="2" t="s">
        <v>785</v>
      </c>
    </row>
    <row r="708" spans="20:20">
      <c r="T708" s="2" t="s">
        <v>786</v>
      </c>
    </row>
    <row r="709" spans="20:20">
      <c r="T709" s="2" t="s">
        <v>787</v>
      </c>
    </row>
    <row r="710" spans="20:20">
      <c r="T710" s="2" t="s">
        <v>788</v>
      </c>
    </row>
    <row r="711" spans="20:20">
      <c r="T711" s="2" t="s">
        <v>789</v>
      </c>
    </row>
    <row r="712" spans="20:20">
      <c r="T712" s="2" t="s">
        <v>790</v>
      </c>
    </row>
    <row r="713" spans="20:20">
      <c r="T713" s="2" t="s">
        <v>791</v>
      </c>
    </row>
    <row r="714" spans="20:20">
      <c r="T714" s="2" t="s">
        <v>792</v>
      </c>
    </row>
    <row r="715" spans="20:20">
      <c r="T715" s="2" t="s">
        <v>793</v>
      </c>
    </row>
    <row r="716" spans="20:20">
      <c r="T716" s="2" t="s">
        <v>794</v>
      </c>
    </row>
    <row r="717" spans="20:20">
      <c r="T717" s="2" t="s">
        <v>795</v>
      </c>
    </row>
    <row r="718" spans="20:20">
      <c r="T718" s="2" t="s">
        <v>796</v>
      </c>
    </row>
    <row r="719" spans="20:20">
      <c r="T719" s="2" t="s">
        <v>797</v>
      </c>
    </row>
    <row r="720" spans="20:20">
      <c r="T720" s="2" t="s">
        <v>798</v>
      </c>
    </row>
    <row r="721" spans="20:20">
      <c r="T721" s="2" t="s">
        <v>799</v>
      </c>
    </row>
    <row r="722" spans="20:20">
      <c r="T722" s="2" t="s">
        <v>800</v>
      </c>
    </row>
    <row r="723" spans="20:20">
      <c r="T723" s="2" t="s">
        <v>801</v>
      </c>
    </row>
    <row r="724" spans="20:20">
      <c r="T724" s="2" t="s">
        <v>802</v>
      </c>
    </row>
    <row r="725" spans="20:20">
      <c r="T725" s="2" t="s">
        <v>803</v>
      </c>
    </row>
    <row r="726" spans="20:20">
      <c r="T726" s="2" t="s">
        <v>804</v>
      </c>
    </row>
    <row r="727" spans="20:20">
      <c r="T727" s="2" t="s">
        <v>805</v>
      </c>
    </row>
    <row r="728" spans="20:20">
      <c r="T728" s="2" t="s">
        <v>806</v>
      </c>
    </row>
    <row r="729" spans="20:20">
      <c r="T729" s="2" t="s">
        <v>807</v>
      </c>
    </row>
    <row r="730" spans="20:20">
      <c r="T730" s="2" t="s">
        <v>972</v>
      </c>
    </row>
    <row r="731" spans="20:20">
      <c r="T731" s="2" t="s">
        <v>808</v>
      </c>
    </row>
    <row r="732" spans="20:20">
      <c r="T732" s="2" t="s">
        <v>809</v>
      </c>
    </row>
    <row r="733" spans="20:20">
      <c r="T733" s="2" t="s">
        <v>810</v>
      </c>
    </row>
    <row r="734" spans="20:20">
      <c r="T734" s="2" t="s">
        <v>811</v>
      </c>
    </row>
    <row r="735" spans="20:20">
      <c r="T735" s="2" t="s">
        <v>812</v>
      </c>
    </row>
    <row r="736" spans="20:20">
      <c r="T736" s="2" t="s">
        <v>813</v>
      </c>
    </row>
    <row r="737" spans="20:20">
      <c r="T737" s="2" t="s">
        <v>814</v>
      </c>
    </row>
    <row r="738" spans="20:20">
      <c r="T738" s="2" t="s">
        <v>815</v>
      </c>
    </row>
    <row r="739" spans="20:20">
      <c r="T739" s="2" t="s">
        <v>816</v>
      </c>
    </row>
    <row r="740" spans="20:20">
      <c r="T740" s="2" t="s">
        <v>817</v>
      </c>
    </row>
    <row r="741" spans="20:20">
      <c r="T741" s="2" t="s">
        <v>818</v>
      </c>
    </row>
    <row r="742" spans="20:20">
      <c r="T742" s="2" t="s">
        <v>819</v>
      </c>
    </row>
    <row r="743" spans="20:20">
      <c r="T743" s="2" t="s">
        <v>820</v>
      </c>
    </row>
    <row r="744" spans="20:20">
      <c r="T744" s="2" t="s">
        <v>821</v>
      </c>
    </row>
    <row r="745" spans="20:20">
      <c r="T745" s="2" t="s">
        <v>822</v>
      </c>
    </row>
    <row r="746" spans="20:20">
      <c r="T746" s="2" t="s">
        <v>823</v>
      </c>
    </row>
    <row r="747" spans="20:20">
      <c r="T747" s="2" t="s">
        <v>824</v>
      </c>
    </row>
    <row r="748" spans="20:20">
      <c r="T748" s="2" t="s">
        <v>825</v>
      </c>
    </row>
    <row r="749" spans="20:20">
      <c r="T749" s="2" t="s">
        <v>826</v>
      </c>
    </row>
    <row r="750" spans="20:20">
      <c r="T750" s="2" t="s">
        <v>827</v>
      </c>
    </row>
    <row r="751" spans="20:20">
      <c r="T751" s="2" t="s">
        <v>828</v>
      </c>
    </row>
    <row r="752" spans="20:20">
      <c r="T752" s="2" t="s">
        <v>829</v>
      </c>
    </row>
    <row r="753" spans="20:20">
      <c r="T753" s="42" t="s">
        <v>113</v>
      </c>
    </row>
    <row r="754" spans="20:20">
      <c r="T754" s="2" t="s">
        <v>830</v>
      </c>
    </row>
    <row r="755" spans="20:20">
      <c r="T755" s="2" t="s">
        <v>831</v>
      </c>
    </row>
    <row r="756" spans="20:20">
      <c r="T756" s="2" t="s">
        <v>832</v>
      </c>
    </row>
    <row r="757" spans="20:20">
      <c r="T757" s="2" t="s">
        <v>833</v>
      </c>
    </row>
    <row r="758" spans="20:20">
      <c r="T758" s="2" t="s">
        <v>834</v>
      </c>
    </row>
    <row r="759" spans="20:20">
      <c r="T759" s="2" t="s">
        <v>835</v>
      </c>
    </row>
    <row r="760" spans="20:20">
      <c r="T760" s="2" t="s">
        <v>836</v>
      </c>
    </row>
    <row r="761" spans="20:20">
      <c r="T761" s="2" t="s">
        <v>114</v>
      </c>
    </row>
    <row r="762" spans="20:20">
      <c r="T762" s="2" t="s">
        <v>115</v>
      </c>
    </row>
    <row r="763" spans="20:20">
      <c r="T763" s="2" t="s">
        <v>837</v>
      </c>
    </row>
    <row r="764" spans="20:20">
      <c r="T764" s="2" t="s">
        <v>838</v>
      </c>
    </row>
    <row r="765" spans="20:20">
      <c r="T765" s="2" t="s">
        <v>839</v>
      </c>
    </row>
    <row r="766" spans="20:20">
      <c r="T766" s="2" t="s">
        <v>840</v>
      </c>
    </row>
    <row r="767" spans="20:20">
      <c r="T767" s="2" t="s">
        <v>841</v>
      </c>
    </row>
    <row r="768" spans="20:20">
      <c r="T768" s="2" t="s">
        <v>842</v>
      </c>
    </row>
    <row r="769" spans="20:20">
      <c r="T769" s="2" t="s">
        <v>843</v>
      </c>
    </row>
    <row r="770" spans="20:20">
      <c r="T770" s="2" t="s">
        <v>844</v>
      </c>
    </row>
    <row r="771" spans="20:20">
      <c r="T771" s="2" t="s">
        <v>845</v>
      </c>
    </row>
    <row r="772" spans="20:20">
      <c r="T772" s="2" t="s">
        <v>846</v>
      </c>
    </row>
    <row r="773" spans="20:20">
      <c r="T773" s="2" t="s">
        <v>847</v>
      </c>
    </row>
    <row r="774" spans="20:20">
      <c r="T774" s="2" t="s">
        <v>848</v>
      </c>
    </row>
    <row r="775" spans="20:20">
      <c r="T775" s="2" t="s">
        <v>849</v>
      </c>
    </row>
    <row r="776" spans="20:20">
      <c r="T776" s="2" t="s">
        <v>850</v>
      </c>
    </row>
    <row r="777" spans="20:20">
      <c r="T777" s="2" t="s">
        <v>851</v>
      </c>
    </row>
    <row r="778" spans="20:20">
      <c r="T778" s="2" t="s">
        <v>116</v>
      </c>
    </row>
    <row r="779" spans="20:20">
      <c r="T779" s="2" t="s">
        <v>852</v>
      </c>
    </row>
    <row r="780" spans="20:20">
      <c r="T780" s="2" t="s">
        <v>853</v>
      </c>
    </row>
    <row r="781" spans="20:20">
      <c r="T781" s="2" t="s">
        <v>854</v>
      </c>
    </row>
    <row r="782" spans="20:20">
      <c r="T782" s="2" t="s">
        <v>855</v>
      </c>
    </row>
    <row r="783" spans="20:20">
      <c r="T783" s="2" t="s">
        <v>856</v>
      </c>
    </row>
    <row r="784" spans="20:20">
      <c r="T784" s="2" t="s">
        <v>857</v>
      </c>
    </row>
    <row r="785" spans="20:20">
      <c r="T785" s="2" t="s">
        <v>858</v>
      </c>
    </row>
    <row r="786" spans="20:20">
      <c r="T786" s="2" t="s">
        <v>859</v>
      </c>
    </row>
    <row r="787" spans="20:20">
      <c r="T787" s="2" t="s">
        <v>860</v>
      </c>
    </row>
    <row r="788" spans="20:20">
      <c r="T788" s="2" t="s">
        <v>861</v>
      </c>
    </row>
    <row r="789" spans="20:20">
      <c r="T789" s="2" t="s">
        <v>862</v>
      </c>
    </row>
    <row r="790" spans="20:20">
      <c r="T790" s="2" t="s">
        <v>863</v>
      </c>
    </row>
    <row r="791" spans="20:20">
      <c r="T791" s="2" t="s">
        <v>864</v>
      </c>
    </row>
    <row r="792" spans="20:20">
      <c r="T792" s="2" t="s">
        <v>865</v>
      </c>
    </row>
    <row r="793" spans="20:20">
      <c r="T793" s="2" t="s">
        <v>866</v>
      </c>
    </row>
    <row r="794" spans="20:20">
      <c r="T794" s="2" t="s">
        <v>867</v>
      </c>
    </row>
    <row r="795" spans="20:20">
      <c r="T795" s="2" t="s">
        <v>868</v>
      </c>
    </row>
    <row r="796" spans="20:20">
      <c r="T796" s="2" t="s">
        <v>869</v>
      </c>
    </row>
    <row r="797" spans="20:20">
      <c r="T797" s="2" t="s">
        <v>870</v>
      </c>
    </row>
    <row r="798" spans="20:20">
      <c r="T798" s="2" t="s">
        <v>871</v>
      </c>
    </row>
    <row r="799" spans="20:20">
      <c r="T799" s="2" t="s">
        <v>872</v>
      </c>
    </row>
    <row r="800" spans="20:20">
      <c r="T800" s="2" t="s">
        <v>873</v>
      </c>
    </row>
    <row r="801" spans="20:20">
      <c r="T801" s="2" t="s">
        <v>874</v>
      </c>
    </row>
    <row r="802" spans="20:20">
      <c r="T802" s="2" t="s">
        <v>875</v>
      </c>
    </row>
    <row r="803" spans="20:20">
      <c r="T803" s="2" t="s">
        <v>876</v>
      </c>
    </row>
    <row r="804" spans="20:20">
      <c r="T804" s="2" t="s">
        <v>877</v>
      </c>
    </row>
    <row r="805" spans="20:20">
      <c r="T805" s="2" t="s">
        <v>878</v>
      </c>
    </row>
    <row r="806" spans="20:20">
      <c r="T806" s="2" t="s">
        <v>879</v>
      </c>
    </row>
    <row r="807" spans="20:20">
      <c r="T807" s="2" t="s">
        <v>880</v>
      </c>
    </row>
    <row r="808" spans="20:20">
      <c r="T808" s="2" t="s">
        <v>881</v>
      </c>
    </row>
    <row r="809" spans="20:20">
      <c r="T809" s="2" t="s">
        <v>882</v>
      </c>
    </row>
    <row r="810" spans="20:20">
      <c r="T810" s="2" t="s">
        <v>883</v>
      </c>
    </row>
    <row r="811" spans="20:20">
      <c r="T811" s="2" t="s">
        <v>884</v>
      </c>
    </row>
    <row r="812" spans="20:20">
      <c r="T812" s="2" t="s">
        <v>885</v>
      </c>
    </row>
    <row r="813" spans="20:20">
      <c r="T813" s="2" t="s">
        <v>886</v>
      </c>
    </row>
    <row r="814" spans="20:20">
      <c r="T814" s="2" t="s">
        <v>887</v>
      </c>
    </row>
    <row r="815" spans="20:20">
      <c r="T815" s="2" t="s">
        <v>888</v>
      </c>
    </row>
    <row r="816" spans="20:20">
      <c r="T816" s="2" t="s">
        <v>889</v>
      </c>
    </row>
    <row r="817" spans="20:20">
      <c r="T817" s="2" t="s">
        <v>890</v>
      </c>
    </row>
    <row r="818" spans="20:20">
      <c r="T818" s="2" t="s">
        <v>891</v>
      </c>
    </row>
    <row r="819" spans="20:20">
      <c r="T819" s="2" t="s">
        <v>892</v>
      </c>
    </row>
    <row r="820" spans="20:20">
      <c r="T820" s="2" t="s">
        <v>893</v>
      </c>
    </row>
    <row r="821" spans="20:20">
      <c r="T821" s="2" t="s">
        <v>894</v>
      </c>
    </row>
    <row r="822" spans="20:20">
      <c r="T822" s="2" t="s">
        <v>895</v>
      </c>
    </row>
    <row r="823" spans="20:20">
      <c r="T823" s="2" t="s">
        <v>896</v>
      </c>
    </row>
    <row r="824" spans="20:20">
      <c r="T824" s="2" t="s">
        <v>897</v>
      </c>
    </row>
    <row r="825" spans="20:20">
      <c r="T825" s="2" t="s">
        <v>898</v>
      </c>
    </row>
    <row r="826" spans="20:20">
      <c r="T826" s="2" t="s">
        <v>117</v>
      </c>
    </row>
    <row r="827" spans="20:20">
      <c r="T827" s="2" t="s">
        <v>899</v>
      </c>
    </row>
    <row r="828" spans="20:20">
      <c r="T828" s="2" t="s">
        <v>900</v>
      </c>
    </row>
    <row r="829" spans="20:20">
      <c r="T829" s="2" t="s">
        <v>901</v>
      </c>
    </row>
    <row r="830" spans="20:20">
      <c r="T830" s="2" t="s">
        <v>902</v>
      </c>
    </row>
    <row r="831" spans="20:20">
      <c r="T831" s="2" t="s">
        <v>903</v>
      </c>
    </row>
    <row r="832" spans="20:20">
      <c r="T832" s="2" t="s">
        <v>904</v>
      </c>
    </row>
    <row r="833" spans="20:20">
      <c r="T833" s="2" t="s">
        <v>905</v>
      </c>
    </row>
    <row r="834" spans="20:20">
      <c r="T834" s="2" t="s">
        <v>906</v>
      </c>
    </row>
    <row r="835" spans="20:20">
      <c r="T835" s="2" t="s">
        <v>907</v>
      </c>
    </row>
    <row r="836" spans="20:20">
      <c r="T836" s="2" t="s">
        <v>118</v>
      </c>
    </row>
    <row r="837" spans="20:20">
      <c r="T837" s="2" t="s">
        <v>908</v>
      </c>
    </row>
    <row r="838" spans="20:20">
      <c r="T838" s="2" t="s">
        <v>909</v>
      </c>
    </row>
    <row r="839" spans="20:20">
      <c r="T839" s="2" t="s">
        <v>910</v>
      </c>
    </row>
    <row r="840" spans="20:20">
      <c r="T840" s="2" t="s">
        <v>911</v>
      </c>
    </row>
    <row r="841" spans="20:20">
      <c r="T841" s="2" t="s">
        <v>912</v>
      </c>
    </row>
    <row r="842" spans="20:20">
      <c r="T842" s="2" t="s">
        <v>913</v>
      </c>
    </row>
    <row r="843" spans="20:20">
      <c r="T843" s="2" t="s">
        <v>914</v>
      </c>
    </row>
    <row r="844" spans="20:20">
      <c r="T844" s="2" t="s">
        <v>119</v>
      </c>
    </row>
    <row r="845" spans="20:20">
      <c r="T845" s="2" t="s">
        <v>915</v>
      </c>
    </row>
    <row r="846" spans="20:20">
      <c r="T846" s="2" t="s">
        <v>916</v>
      </c>
    </row>
    <row r="847" spans="20:20">
      <c r="T847" s="2" t="s">
        <v>917</v>
      </c>
    </row>
    <row r="848" spans="20:20">
      <c r="T848" s="2" t="s">
        <v>918</v>
      </c>
    </row>
    <row r="849" spans="20:20">
      <c r="T849" s="2" t="s">
        <v>919</v>
      </c>
    </row>
    <row r="850" spans="20:20">
      <c r="T850" s="2" t="s">
        <v>120</v>
      </c>
    </row>
    <row r="851" spans="20:20">
      <c r="T851" s="2" t="s">
        <v>920</v>
      </c>
    </row>
    <row r="852" spans="20:20">
      <c r="T852" s="2" t="s">
        <v>921</v>
      </c>
    </row>
    <row r="853" spans="20:20">
      <c r="T853" s="2" t="s">
        <v>922</v>
      </c>
    </row>
    <row r="854" spans="20:20">
      <c r="T854" s="2" t="s">
        <v>923</v>
      </c>
    </row>
    <row r="855" spans="20:20">
      <c r="T855" s="2" t="s">
        <v>924</v>
      </c>
    </row>
    <row r="856" spans="20:20">
      <c r="T856" s="42" t="s">
        <v>121</v>
      </c>
    </row>
    <row r="857" spans="20:20">
      <c r="T857" s="2" t="s">
        <v>925</v>
      </c>
    </row>
    <row r="858" spans="20:20">
      <c r="T858" s="2" t="s">
        <v>926</v>
      </c>
    </row>
    <row r="859" spans="20:20">
      <c r="T859" s="2" t="s">
        <v>973</v>
      </c>
    </row>
    <row r="860" spans="20:20">
      <c r="T860" s="2" t="s">
        <v>927</v>
      </c>
    </row>
    <row r="861" spans="20:20">
      <c r="T861" s="2" t="s">
        <v>928</v>
      </c>
    </row>
    <row r="862" spans="20:20">
      <c r="T862" s="2" t="s">
        <v>929</v>
      </c>
    </row>
    <row r="863" spans="20:20">
      <c r="T863" s="2" t="s">
        <v>930</v>
      </c>
    </row>
    <row r="864" spans="20:20">
      <c r="T864" s="2" t="s">
        <v>931</v>
      </c>
    </row>
    <row r="865" spans="20:20">
      <c r="T865" s="2" t="s">
        <v>932</v>
      </c>
    </row>
    <row r="866" spans="20:20">
      <c r="T866" s="2" t="s">
        <v>933</v>
      </c>
    </row>
    <row r="867" spans="20:20">
      <c r="T867" s="2" t="s">
        <v>934</v>
      </c>
    </row>
    <row r="868" spans="20:20">
      <c r="T868" s="2" t="s">
        <v>935</v>
      </c>
    </row>
    <row r="869" spans="20:20">
      <c r="T869" s="2" t="s">
        <v>936</v>
      </c>
    </row>
  </sheetData>
  <sheetProtection selectLockedCells="1" selectUnlockedCells="1"/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33</vt:i4>
      </vt:variant>
    </vt:vector>
  </HeadingPairs>
  <TitlesOfParts>
    <vt:vector size="41" baseType="lpstr">
      <vt:lpstr>登録票</vt:lpstr>
      <vt:lpstr>登録時情報</vt:lpstr>
      <vt:lpstr>家系情報</vt:lpstr>
      <vt:lpstr>サーベイランス</vt:lpstr>
      <vt:lpstr>化学予防</vt:lpstr>
      <vt:lpstr>嗜好・生活</vt:lpstr>
      <vt:lpstr>転帰・予後</vt:lpstr>
      <vt:lpstr>List</vt:lpstr>
      <vt:lpstr>その他</vt:lpstr>
      <vt:lpstr>ファーター膨大部</vt:lpstr>
      <vt:lpstr>リンパ球系</vt:lpstr>
      <vt:lpstr>陰茎</vt:lpstr>
      <vt:lpstr>外陰部_膣</vt:lpstr>
      <vt:lpstr>肝臓</vt:lpstr>
      <vt:lpstr>眼</vt:lpstr>
      <vt:lpstr>胸腺</vt:lpstr>
      <vt:lpstr>胸膜</vt:lpstr>
      <vt:lpstr>甲状腺</vt:lpstr>
      <vt:lpstr>骨</vt:lpstr>
      <vt:lpstr>骨髄</vt:lpstr>
      <vt:lpstr>子宮</vt:lpstr>
      <vt:lpstr>子宮頸部</vt:lpstr>
      <vt:lpstr>食道_胃</vt:lpstr>
      <vt:lpstr>腎臓</vt:lpstr>
      <vt:lpstr>精巣</vt:lpstr>
      <vt:lpstr>前立腺</vt:lpstr>
      <vt:lpstr>胆道</vt:lpstr>
      <vt:lpstr>中枢神経系_脳</vt:lpstr>
      <vt:lpstr>腸</vt:lpstr>
      <vt:lpstr>頭頸部</vt:lpstr>
      <vt:lpstr>軟部組織</vt:lpstr>
      <vt:lpstr>乳房</vt:lpstr>
      <vt:lpstr>肺</vt:lpstr>
      <vt:lpstr>皮膚</vt:lpstr>
      <vt:lpstr>病変部位</vt:lpstr>
      <vt:lpstr>副腎</vt:lpstr>
      <vt:lpstr>腹膜</vt:lpstr>
      <vt:lpstr>末梢神経系</vt:lpstr>
      <vt:lpstr>卵巣_卵管</vt:lpstr>
      <vt:lpstr>膀胱_尿路</vt:lpstr>
      <vt:lpstr>膵臓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達郎 山口</dc:creator>
  <cp:lastModifiedBy>達郎 山口</cp:lastModifiedBy>
  <dcterms:created xsi:type="dcterms:W3CDTF">2025-04-18T06:30:05Z</dcterms:created>
  <dcterms:modified xsi:type="dcterms:W3CDTF">2026-07-13T09:36:38Z</dcterms:modified>
</cp:coreProperties>
</file>